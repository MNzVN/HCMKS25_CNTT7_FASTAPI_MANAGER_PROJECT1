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Nz\Downloads\"/>
    </mc:Choice>
  </mc:AlternateContent>
  <xr:revisionPtr revIDLastSave="0" documentId="13_ncr:1_{24FF465D-F899-4CCE-A8EE-BC611723B39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ổng quan &amp; Thống kê" sheetId="1" r:id="rId1"/>
    <sheet name="Checklist Test API" sheetId="2" r:id="rId2"/>
    <sheet name="Danh mục AP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1" l="1"/>
  <c r="E15" i="1"/>
  <c r="B15" i="1"/>
  <c r="E14" i="1"/>
  <c r="B14" i="1"/>
  <c r="E21" i="1" s="1"/>
  <c r="E13" i="1"/>
  <c r="B13" i="1"/>
  <c r="E20" i="1" s="1"/>
  <c r="E12" i="1"/>
  <c r="B12" i="1"/>
  <c r="B16" i="1" l="1"/>
</calcChain>
</file>

<file path=xl/sharedStrings.xml><?xml version="1.0" encoding="utf-8"?>
<sst xmlns="http://schemas.openxmlformats.org/spreadsheetml/2006/main" count="587" uniqueCount="339">
  <si>
    <t>BÁO CÁO TỔNG QUAN KIỂM THỬ API - CHECKLIST TEST SUITE</t>
  </si>
  <si>
    <t>Dự án: FastAPI Project Management System | Thực hiện kiểm thử thủ công qua Swagger / Postman</t>
  </si>
  <si>
    <t>Tên dự án:</t>
  </si>
  <si>
    <t>HCMKS25_CNTT7_FASTAPI_MANAGER_PROJECT1</t>
  </si>
  <si>
    <t>Framework / Tech stack:</t>
  </si>
  <si>
    <t>FastAPI, Pydantic, SQLAlchemy, JWT Authentication</t>
  </si>
  <si>
    <t>Môi trường test:</t>
  </si>
  <si>
    <t>Localhost (http://127.0.0.1:8000/docs - Swagger UI &amp; Postman)</t>
  </si>
  <si>
    <t>Phạm vi kiểm thử:</t>
  </si>
  <si>
    <t>Bao gồm cả luồng chuẩn (Positive) và các kịch bản bắt lỗi (Negative/Validation), phân loại các lỗi phát hiện (Fail/Bug)</t>
  </si>
  <si>
    <t>CHỈ SỐ TỔNG KẾT TEST CASES</t>
  </si>
  <si>
    <t>THỐNG KÊ THEO MODULE</t>
  </si>
  <si>
    <t>Chỉ số (Metric)</t>
  </si>
  <si>
    <t>Số lượng / Tỷ lệ</t>
  </si>
  <si>
    <t>Module</t>
  </si>
  <si>
    <t>Số Test Case</t>
  </si>
  <si>
    <t>Tổng số API Endpoints</t>
  </si>
  <si>
    <t>Authentication</t>
  </si>
  <si>
    <t>Tổng số Test Cases đã lập</t>
  </si>
  <si>
    <t>Users</t>
  </si>
  <si>
    <t>Số Test Case ĐẠT (Pass)</t>
  </si>
  <si>
    <t>Projects</t>
  </si>
  <si>
    <t>Số Test Case LỖI / PHÁT HIỆN BUG (Fail)</t>
  </si>
  <si>
    <t>Tasks</t>
  </si>
  <si>
    <t>Tỷ lệ Pass (Pass Rate)</t>
  </si>
  <si>
    <t>Tỷ lệ Lỗi phát hiện (Defect Rate)</t>
  </si>
  <si>
    <t>KẾT QUẢ KIỂM THỬ THỰC TẾ</t>
  </si>
  <si>
    <t>Trạng thái</t>
  </si>
  <si>
    <t>Số lượng</t>
  </si>
  <si>
    <t>Pass (Đúng kỳ vọng)</t>
  </si>
  <si>
    <t>Fail (Phát hiện Bug)</t>
  </si>
  <si>
    <t>BẢNG CHECKLIST TEST CASES API - DỰ ÁN QUẢN LÝ DỰ ÁN (FASTAPI MANAGER PROJECT)</t>
  </si>
  <si>
    <t>Dự án: HCMKS25_CNTT7_FASTAPI_MANAGER_PROJECT1 | Kiểm thử thực tế đối chiếu case ĐÚNG (Pass) và SAI / BUG (Fail)</t>
  </si>
  <si>
    <t>Mã Test Case</t>
  </si>
  <si>
    <t>Module / Chức năng</t>
  </si>
  <si>
    <t>API Endpoint</t>
  </si>
  <si>
    <t>HTTP Method</t>
  </si>
  <si>
    <t>Loại Test (Kịch bản)</t>
  </si>
  <si>
    <t>Mô tả kịch bản kiểm thử</t>
  </si>
  <si>
    <t>Điều kiện tiên quyết (Precondition)</t>
  </si>
  <si>
    <t>Dữ liệu đầu vào (Request Payload / Params)</t>
  </si>
  <si>
    <t>Mã HTTP kỳ vọng</t>
  </si>
  <si>
    <t>Kết quả phản hồi mong đợi (Expected Body)</t>
  </si>
  <si>
    <t>Kết quả thực tế (Actual Result)</t>
  </si>
  <si>
    <t>Trạng thái (Status)</t>
  </si>
  <si>
    <t>Ghi chú / Phân loại Bug</t>
  </si>
  <si>
    <t>TC_AUTH_01</t>
  </si>
  <si>
    <t>/api/v1/auth/register</t>
  </si>
  <si>
    <t>POST</t>
  </si>
  <si>
    <t>Case Đúng (Positive)</t>
  </si>
  <si>
    <t>Đăng ký tài khoản mới hợp lệ với đầy đủ thông tin</t>
  </si>
  <si>
    <t>Email chưa từng tồn tại trong hệ thống</t>
  </si>
  <si>
    <t>{
  "email": "user.test@example.com",
  "password": "Password123@",
  "full_name": "Nguyen Van A",
  "role": "MEMBER"
}</t>
  </si>
  <si>
    <t>HTTP 201 Created
{
  "id": 1,
  "email": "user.test@example.com",
  "full_name": "Nguyen Van A",
  "role": "MEMBER",
  "is_active": true
}</t>
  </si>
  <si>
    <t>HTTP 201 Created: Tạo user thành công, trả về đúng JSON Schema, mật khẩu được hash an toàn (không lộ).</t>
  </si>
  <si>
    <t>Pass</t>
  </si>
  <si>
    <t>Hoạt động chuẩn</t>
  </si>
  <si>
    <t>TC_AUTH_02</t>
  </si>
  <si>
    <t>Case Sai (Negative)</t>
  </si>
  <si>
    <t>Đăng ký thất bại khi email đã tồn tại</t>
  </si>
  <si>
    <t>Đã có tài khoản user.test@example.com trong DB</t>
  </si>
  <si>
    <t>{
  "email": "user.test@example.com",
  "password": "Password123@",
  "full_name": "Nguyen Van A"
}</t>
  </si>
  <si>
    <t>HTTP 400 Bad Request
{"detail": "Email already registered"}</t>
  </si>
  <si>
    <t>HTTP 400 Bad Request: Hệ thống chặn trùng email và báo lỗi chính xác.</t>
  </si>
  <si>
    <t>Bắt lỗi nghiệp vụ tốt</t>
  </si>
  <si>
    <t>TC_AUTH_03</t>
  </si>
  <si>
    <t>Case Sai (Validation)</t>
  </si>
  <si>
    <t>Đăng ký thất bại khi định dạng email không hợp lệ</t>
  </si>
  <si>
    <t>Không</t>
  </si>
  <si>
    <t>{
  "email": "invalid-email-format",
  "password": "Password123@",
  "full_name": "Test"
}</t>
  </si>
  <si>
    <t>HTTP 422 Unprocessable Entity
{"detail": [{"loc": ["body", "email"], "msg": "value is not a valid email address"}]}</t>
  </si>
  <si>
    <t>HTTP 422 Unprocessable Entity: Pydantic EmailStr tự động validate bắt lỗi định dạng email.</t>
  </si>
  <si>
    <t>Validation tốt</t>
  </si>
  <si>
    <t>TC_AUTH_04</t>
  </si>
  <si>
    <t>Case Sai (Boundary)</t>
  </si>
  <si>
    <t>Đăng ký thất bại khi mật khẩu quá ngắn (&lt; 6 ký tự)</t>
  </si>
  <si>
    <t>{
  "email": "shortpass@example.com",
  "password": "123",
  "full_name": "Test"
}</t>
  </si>
  <si>
    <t>HTTP 422 Unprocessable Entity
{"detail": [{"loc": ["body", "password"], "msg": "Password too short"}]}</t>
  </si>
  <si>
    <t>HTTP 201 Created: Server vẫn tạo tài khoản thành công với pass "123" mà không chặn validation độ dài mật khẩu tối thiểu.</t>
  </si>
  <si>
    <t>Fail</t>
  </si>
  <si>
    <t>BUG: Thiếu validator kiểm tra min_length của password trong Pydantic schema</t>
  </si>
  <si>
    <t>TC_AUTH_05</t>
  </si>
  <si>
    <t>/api/v1/auth/login</t>
  </si>
  <si>
    <t>Đăng nhập thành công với thông tin chính xác</t>
  </si>
  <si>
    <t>User đã đăng ký và ở trạng thái active</t>
  </si>
  <si>
    <t>{
  "username": "user.test@example.com",
  "password": "Password123@"
}</t>
  </si>
  <si>
    <t>HTTP 200 OK
{
  "access_token": "eyJhbGciOiJIUzI1NiIsInR5cCI6IkpXVCJ9...",
  "token_type": "bearer"
}</t>
  </si>
  <si>
    <t>HTTP 200 OK: Trả về JWT token hợp lệ, giải mã thấy đầy đủ user_id và thời gian hết hạn (exp).</t>
  </si>
  <si>
    <t>TC_AUTH_06</t>
  </si>
  <si>
    <t>Đăng nhập thất bại khi nhập sai mật khẩu</t>
  </si>
  <si>
    <t>User đã tồn tại trong DB</t>
  </si>
  <si>
    <t>{
  "username": "user.test@example.com",
  "password": "WrongPassword123"
}</t>
  </si>
  <si>
    <t>HTTP 401 Unauthorized
{"detail": "Incorrect email or password"}</t>
  </si>
  <si>
    <t>HTTP 401 Unauthorized: Hệ thống kiểm tra verify_password thất bại và trả về 401 Unauthorized.</t>
  </si>
  <si>
    <t>Bảo mật chuẩn</t>
  </si>
  <si>
    <t>TC_AUTH_07</t>
  </si>
  <si>
    <t>Đăng nhập thất bại khi email không tồn tại</t>
  </si>
  <si>
    <t>Email chưa từng đăng ký</t>
  </si>
  <si>
    <t>{
  "username": "notfound@example.com",
  "password": "Password123@"
}</t>
  </si>
  <si>
    <t>HTTP 401 Unauthorized: Trả về thông điệp lỗi chung, đảm bảo tính bảo mật.</t>
  </si>
  <si>
    <t>TC_AUTH_08</t>
  </si>
  <si>
    <t>/api/v1/auth/me</t>
  </si>
  <si>
    <t>GET</t>
  </si>
  <si>
    <t>Lấy thông tin tài khoản hiện tại khi đã đính kèm Bearer Token</t>
  </si>
  <si>
    <t>Đã đăng nhập và có token hợp lệ</t>
  </si>
  <si>
    <t>Header: Authorization: Bearer &lt;valid_token&gt;</t>
  </si>
  <si>
    <t>HTTP 200 OK
{
  "id": 1,
  "email": "user.test@example.com",
  "full_name": "Nguyen Van A",
  "role": "MEMBER"
}</t>
  </si>
  <si>
    <t>HTTP 200 OK: Trích xuất thông tin user từ token chính xác.</t>
  </si>
  <si>
    <t>TC_AUTH_09</t>
  </si>
  <si>
    <t>Case Sai (Auth)</t>
  </si>
  <si>
    <t>Truy cập thất bại khi không truyền Header Authorization</t>
  </si>
  <si>
    <t>Header: (Trống)</t>
  </si>
  <si>
    <t>HTTP 401 Unauthorized
{"detail": "Not authenticated"}</t>
  </si>
  <si>
    <t>HTTP 401 Unauthorized: Bị chặn ngay từ tầng HTTPBearer dependency.</t>
  </si>
  <si>
    <t>Bảo mật token OK</t>
  </si>
  <si>
    <t>TC_AUTH_10</t>
  </si>
  <si>
    <t>Truy cập thất bại khi truyền Token hết hạn / token giả mạo</t>
  </si>
  <si>
    <t>Token hết hạn hoặc chuỗi bậy</t>
  </si>
  <si>
    <t>Header: Authorization: Bearer invalid_jwt_string_xyz</t>
  </si>
  <si>
    <t>HTTP 401 Unauthorized
{"detail": "Could not validate credentials"}</t>
  </si>
  <si>
    <t>HTTP 401 Unauthorized: PyJWT decode bắt lỗi InvalidTokenError và trả về 401.</t>
  </si>
  <si>
    <t>Xử lý token sai OK</t>
  </si>
  <si>
    <t>TC_USER_01</t>
  </si>
  <si>
    <t>/api/v1/users/</t>
  </si>
  <si>
    <t>Lấy danh sách người dùng phân trang (Admin/Manager)</t>
  </si>
  <si>
    <t>Đăng nhập bằng tài khoản role ADMIN</t>
  </si>
  <si>
    <t>Params: skip=0, limit=10, search=""</t>
  </si>
  <si>
    <t>HTTP 200 OK
[
  {"id": 1, "email": "admin@example.com", "role": "ADMIN"},
  {"id": 2, "email": "user@example.com", "role": "MEMBER"}
]</t>
  </si>
  <si>
    <t>HTTP 200 OK: Trả về danh sách user và áp dụng phân trang skip/limit chính xác.</t>
  </si>
  <si>
    <t>TC_USER_02</t>
  </si>
  <si>
    <t>Case Sai (Phân quyền RBAC)</t>
  </si>
  <si>
    <t>Người dùng quyền MEMBER không được phép xem toàn bộ danh sách users</t>
  </si>
  <si>
    <t>Đăng nhập bằng user role MEMBER</t>
  </si>
  <si>
    <t>Header: Authorization: Bearer &lt;member_token&gt;</t>
  </si>
  <si>
    <t>HTTP 403 Forbidden
{"detail": "Not enough permissions"}</t>
  </si>
  <si>
    <t>HTTP 200 OK: User MEMBER vẫn lấy được toàn bộ danh sách người dùng kèm cả số điện thoại và email của người khác.</t>
  </si>
  <si>
    <t>BUG: Thiếu middleware hoặc Depends check role ADMIN cho API get users</t>
  </si>
  <si>
    <t>TC_USER_03</t>
  </si>
  <si>
    <t>/api/v1/users/{user_id}</t>
  </si>
  <si>
    <t>Lấy thông tin chi tiết user theo ID hợp lệ</t>
  </si>
  <si>
    <t>User ID = 1 tồn tại trong hệ thống</t>
  </si>
  <si>
    <t>Path: user_id = 1</t>
  </si>
  <si>
    <t>HTTP 200 OK: Trả về đúng thông tin user theo ID.</t>
  </si>
  <si>
    <t>TC_USER_04</t>
  </si>
  <si>
    <t>Lấy thông tin user với ID không tồn tại</t>
  </si>
  <si>
    <t>user_id = 999999 không có trong DB</t>
  </si>
  <si>
    <t>Path: user_id = 999999</t>
  </si>
  <si>
    <t>HTTP 404 Not Found
{"detail": "User not found"}</t>
  </si>
  <si>
    <t>HTTP 404 Not Found: Báo lỗi "User not found" chính xác.</t>
  </si>
  <si>
    <t>Bắt 404 chuẩn</t>
  </si>
  <si>
    <t>TC_USER_05</t>
  </si>
  <si>
    <t>PUT</t>
  </si>
  <si>
    <t>Cập nhật thông tin cá nhân của chính mình</t>
  </si>
  <si>
    <t>Đăng nhập đúng user sở hữu profile</t>
  </si>
  <si>
    <t>Path: user_id = 1
Body: {
  "full_name": "Nguyen Van A Updated",
  "phone": "0912345678"
}</t>
  </si>
  <si>
    <t>HTTP 200 OK
{
  "id": 1,
  "full_name": "Nguyen Van A Updated",
  "phone": "0912345678"
}</t>
  </si>
  <si>
    <t>HTTP 200 OK: Dữ liệu DB được update và response trả về thông tin mới.</t>
  </si>
  <si>
    <t>Cập nhật thành công</t>
  </si>
  <si>
    <t>TC_USER_06</t>
  </si>
  <si>
    <t>DELETE</t>
  </si>
  <si>
    <t>Xóa / Vô hiệu hóa người dùng (Chỉ ADMIN)</t>
  </si>
  <si>
    <t>Đăng nhập tài khoản ADMIN</t>
  </si>
  <si>
    <t>Path: user_id = 2</t>
  </si>
  <si>
    <t>HTTP 200 OK
{"message": "User deleted successfully"}</t>
  </si>
  <si>
    <t>HTTP 200 OK: Xóa bản ghi user thành công khỏi DB.</t>
  </si>
  <si>
    <t>TC_PROJ_01</t>
  </si>
  <si>
    <t>/api/v1/projects/</t>
  </si>
  <si>
    <t>Tạo dự án mới thành công với dữ liệu hợp lệ</t>
  </si>
  <si>
    <t>Đã đăng nhập tài khoản hợp lệ</t>
  </si>
  <si>
    <t>{
  "name": "FastAPI Management System",
  "description": "Hệ thống quản lý công việc",
  "start_date": "2026-09-01",
  "end_date": "2026-12-31",
  "status": "PLANNING"
}</t>
  </si>
  <si>
    <t>HTTP 201 Created
{
  "id": 1,
  "name": "FastAPI Management System",
  "owner_id": 1,
  "status": "PLANNING"
}</t>
  </si>
  <si>
    <t>HTTP 201 Created: Tạo dự án thành công, gán owner_id tự động theo user tạo.</t>
  </si>
  <si>
    <t>TC_PROJ_02</t>
  </si>
  <si>
    <t>Tạo dự án thất bại khi thiếu tên dự án (name bắt buộc)</t>
  </si>
  <si>
    <t>Đã đăng nhập</t>
  </si>
  <si>
    <t>{
  "description": "Missing project name",
  "status": "PLANNING"
}</t>
  </si>
  <si>
    <t>HTTP 422 Unprocessable Entity
{"detail": [{"loc": ["body", "name"], "msg": "Field required", "type": "missing"}]}</t>
  </si>
  <si>
    <t>HTTP 422 Unprocessable Entity: Bắt lỗi thiếu trường name bắt buộc.</t>
  </si>
  <si>
    <t>Validation Pydantic OK</t>
  </si>
  <si>
    <t>TC_PROJ_03</t>
  </si>
  <si>
    <t>Case Sai (Business Logic)</t>
  </si>
  <si>
    <t>Tạo dự án thất bại khi ngày kết thúc nhỏ hơn ngày bắt đầu</t>
  </si>
  <si>
    <t>{
  "name": "Invalid Date Project",
  "start_date": "2026-10-01",
  "end_date": "2026-09-01"
}</t>
  </si>
  <si>
    <t>HTTP 400 Bad Request
{"detail": "end_date must be after start_date"}</t>
  </si>
  <si>
    <t>HTTP 201 Created: Hệ thống vẫn lưu dự án có ngày kết thúc trước ngày bắt đầu vào DB mà không ném lỗi 400.</t>
  </si>
  <si>
    <t>BUG: Chưa viết custom validator kiểm tra logic end_date &gt;= start_date</t>
  </si>
  <si>
    <t>TC_PROJ_04</t>
  </si>
  <si>
    <t>Lấy danh sách các dự án (kèm lọc theo status và tìm kiếm)</t>
  </si>
  <si>
    <t>Params: status=PLANNING, search="FastAPI", skip=0, limit=10</t>
  </si>
  <si>
    <t>HTTP 200 OK
[
  {"id": 1, "name": "FastAPI Management System", "status": "PLANNING"}
]</t>
  </si>
  <si>
    <t>HTTP 200 OK: Trả về danh sách lọc chính xác theo keyword và status.</t>
  </si>
  <si>
    <t>Filter chuẩn</t>
  </si>
  <si>
    <t>TC_PROJ_05</t>
  </si>
  <si>
    <t>/api/v1/projects/{project_id}</t>
  </si>
  <si>
    <t>Xem chi tiết dự án theo ID</t>
  </si>
  <si>
    <t>project_id = 1 tồn tại</t>
  </si>
  <si>
    <t>Path: project_id = 1</t>
  </si>
  <si>
    <t>HTTP 200 OK
{
  "id": 1,
  "name": "FastAPI Management System",
  "members": [...]
}</t>
  </si>
  <si>
    <t>HTTP 200 OK: Trả về đầy đủ thông tin dự án kèm relationship members.</t>
  </si>
  <si>
    <t>TC_PROJ_06</t>
  </si>
  <si>
    <t>Xem chi tiết dự án không tồn tại</t>
  </si>
  <si>
    <t>project_id = 9999</t>
  </si>
  <si>
    <t>Path: project_id = 9999</t>
  </si>
  <si>
    <t>HTTP 404 Not Found
{"detail": "Project not found"}</t>
  </si>
  <si>
    <t>HTTP 404 Not Found: Báo lỗi "Project not found" chuẩn xác.</t>
  </si>
  <si>
    <t>Bắt 404 tốt</t>
  </si>
  <si>
    <t>TC_PROJ_07</t>
  </si>
  <si>
    <t>Cập nhật thông tin dự án (Chủ sở hữu hoặc Manager)</t>
  </si>
  <si>
    <t>User là owner của project</t>
  </si>
  <si>
    <t>Path: project_id = 1
Body: {
  "name": "FastAPI Manager Updated",
  "status": "IN_PROGRESS"
}</t>
  </si>
  <si>
    <t>HTTP 200 OK
{
  "id": 1,
  "name": "FastAPI Manager Updated",
  "status": "IN_PROGRESS"
}</t>
  </si>
  <si>
    <t>HTTP 200 OK: Thông tin dự án cập nhật thành công.</t>
  </si>
  <si>
    <t>TC_PROJ_08</t>
  </si>
  <si>
    <t>Case Sai (Phân quyền)</t>
  </si>
  <si>
    <t>Cập nhật dự án thất bại khi user không phải owner/admin</t>
  </si>
  <si>
    <t>Đăng nhập user không thuộc dự án</t>
  </si>
  <si>
    <t>Path: project_id = 1
Body: {"name": "Hacked Name"}</t>
  </si>
  <si>
    <t>HTTP 403 Forbidden
{"detail": "You do not have permission to edit this project"}</t>
  </si>
  <si>
    <t>HTTP 403 Forbidden: Chặn user lạ sửa thông tin dự án.</t>
  </si>
  <si>
    <t>Bảo vệ tài nguyên tốt</t>
  </si>
  <si>
    <t>TC_PROJ_09</t>
  </si>
  <si>
    <t>Xóa dự án thành công</t>
  </si>
  <si>
    <t>User là Owner/Admin</t>
  </si>
  <si>
    <t>HTTP 200 OK
{"message": "Project deleted successfully"}</t>
  </si>
  <si>
    <t>HTTP 200 OK: Xóa project thành công.</t>
  </si>
  <si>
    <t>TC_PROJ_10</t>
  </si>
  <si>
    <t>/api/v1/projects/{project_id}/members</t>
  </si>
  <si>
    <t>Thêm thành viên vào dự án</t>
  </si>
  <si>
    <t>Project tồn tại, user_id hợp lệ</t>
  </si>
  <si>
    <t>Path: project_id = 1
Body: {
  "user_id": 2,
  "role": "DEVELOPER"
}</t>
  </si>
  <si>
    <t>HTTP 200 OK
{"message": "Member added successfully", "project_id": 1, "user_id": 2}</t>
  </si>
  <si>
    <t>HTTP 200 OK: Bản ghi project_members được thêm thành công.</t>
  </si>
  <si>
    <t>TC_TASK_01</t>
  </si>
  <si>
    <t>/api/v1/tasks/</t>
  </si>
  <si>
    <t>Tạo task mới thuộc dự án thành công</t>
  </si>
  <si>
    <t>Project tồn tại, user là thành viên dự án</t>
  </si>
  <si>
    <t>{
  "title": "Thiết kế CSDL Task &amp; Project",
  "description": "Viết models SQLAlchemy",
  "project_id": 1,
  "priority": "HIGH",
  "status": "TODO",
  "assigned_to": 2
}</t>
  </si>
  <si>
    <t>HTTP 201 Created
{
  "id": 1,
  "title": "Thiết kế CSDL Task &amp; Project",
  "project_id": 1,
  "status": "TODO"
}</t>
  </si>
  <si>
    <t>HTTP 201 Created: Task được tạo thành công với status TODO và priority HIGH.</t>
  </si>
  <si>
    <t>TC_TASK_02</t>
  </si>
  <si>
    <t>Case Sai (Khóa ngoại)</t>
  </si>
  <si>
    <t>Tạo task thất bại khi gán vào project không tồn tại</t>
  </si>
  <si>
    <t>project_id = 9999 không tồn tại</t>
  </si>
  <si>
    <t>{
  "title": "Task không hợp lệ",
  "project_id": 9999,
  "status": "TODO"
}</t>
  </si>
  <si>
    <t>HTTP 500 Internal Server Error: Hệ thống crash ném Unhandled IntegrityError (foreign key constraint fails) thay vì bắt và trả 404.</t>
  </si>
  <si>
    <t>BUG: Service chưa check project tồn tại trước khi insert, gây lỗi 500 DB Crash</t>
  </si>
  <si>
    <t>TC_TASK_03</t>
  </si>
  <si>
    <t>Tạo task thất bại khi truyền sai giá trị enum priority</t>
  </si>
  <si>
    <t>{
  "title": "Task Invalid Enum",
  "project_id": 1,
  "priority": "SUPER_URGENT_INVALID",
  "status": "TODO"
}</t>
  </si>
  <si>
    <t>HTTP 422 Unprocessable Entity
{"detail": [{"loc": ["body", "priority"], "msg": "Input should be 'LOW', 'MEDIUM', 'HIGH' or 'URGENT'"}]}</t>
  </si>
  <si>
    <t>HTTP 422 Unprocessable Entity: Bắt enum sai giá trị chính xác.</t>
  </si>
  <si>
    <t>Validation Enum OK</t>
  </si>
  <si>
    <t>TC_TASK_04</t>
  </si>
  <si>
    <t>Lấy danh sách tasks kèm filter (theo project_id, status)</t>
  </si>
  <si>
    <t>Params: project_id=1, status=TODO, priority=HIGH, skip=0, limit=20</t>
  </si>
  <si>
    <t>HTTP 200 OK
[
  {"id": 1, "title": "Thiết kế CSDL Task &amp; Project", "project_id": 1, "status": "TODO"}
]</t>
  </si>
  <si>
    <t>HTTP 200 OK: Trả về đúng danh sách các tasks khớp bộ lọc.</t>
  </si>
  <si>
    <t>TC_TASK_05</t>
  </si>
  <si>
    <t>/api/v1/tasks/{task_id}</t>
  </si>
  <si>
    <t>Xem thông tin chi tiết một task</t>
  </si>
  <si>
    <t>task_id = 1 tồn tại</t>
  </si>
  <si>
    <t>Path: task_id = 1</t>
  </si>
  <si>
    <t>HTTP 200 OK
{
  "id": 1,
  "title": "Thiết kế CSDL Task &amp; Project",
  "assigned_user": {"id": 2, "full_name": "Nguyen Van A"}
}</t>
  </si>
  <si>
    <t>HTTP 200 OK: Trả về chi tiết task kèm thông tin user được giao.</t>
  </si>
  <si>
    <t>TC_TASK_06</t>
  </si>
  <si>
    <t>Xem chi tiết task với task_id không tồn tại</t>
  </si>
  <si>
    <t>task_id = 99999</t>
  </si>
  <si>
    <t>Path: task_id = 99999</t>
  </si>
  <si>
    <t>HTTP 404 Not Found
{"detail": "Task not found"}</t>
  </si>
  <si>
    <t>HTTP 404 Not Found: Báo lỗi "Task not found" chuẩn.</t>
  </si>
  <si>
    <t>TC_TASK_07</t>
  </si>
  <si>
    <t>/api/v1/tasks/{task_id}/status</t>
  </si>
  <si>
    <t>PATCH</t>
  </si>
  <si>
    <t>Cập nhật trạng thái tiến độ task (TODO -&gt; IN_PROGRESS)</t>
  </si>
  <si>
    <t>User được giao task hoặc Owner</t>
  </si>
  <si>
    <t>Path: task_id = 1
Body: {
  "status": "IN_PROGRESS"
}</t>
  </si>
  <si>
    <t>HTTP 200 OK
{
  "id": 1,
  "status": "IN_PROGRESS"
}</t>
  </si>
  <si>
    <t>HTTP 200 OK: Trạng thái task chuyển sang IN_PROGRESS thành công.</t>
  </si>
  <si>
    <t>TC_TASK_08</t>
  </si>
  <si>
    <t>/api/v1/tasks/{task_id}/assign</t>
  </si>
  <si>
    <t>Case Sai (Logic phân công)</t>
  </si>
  <si>
    <t>Giao task thất bại khi gán cho user không thuộc dự án</t>
  </si>
  <si>
    <t>User ID = 5 không phải thành viên dự án 1</t>
  </si>
  <si>
    <t>Path: task_id = 1
Body: {
  "assigned_to": 5
}</t>
  </si>
  <si>
    <t>HTTP 400 Bad Request
{"detail": "Assigned user is not a member of this project"}</t>
  </si>
  <si>
    <t>HTTP 200 OK: Hệ thống vẫn cho phép assign task cho user_id=5 dù user này không nằm trong danh sách thành viên dự án.</t>
  </si>
  <si>
    <t>BUG: Nghiệp vụ phân công task thiếu bước kiểm tra user có thuộc project_members hay không</t>
  </si>
  <si>
    <t>TC_TASK_09</t>
  </si>
  <si>
    <t>Chỉnh sửa toàn bộ thông tin task (tiêu đề, mức độ ưu tiên)</t>
  </si>
  <si>
    <t>Có quyền chỉnh sửa task</t>
  </si>
  <si>
    <t>Path: task_id = 1
Body: {
  "title": "Thiết kế CSDL v2",
  "priority": "URGENT"
}</t>
  </si>
  <si>
    <t>HTTP 200 OK
{
  "id": 1,
  "title": "Thiết kế CSDL v2",
  "priority": "URGENT"
}</t>
  </si>
  <si>
    <t>HTTP 200 OK: Toàn bộ thông tin task cập nhật chính xác.</t>
  </si>
  <si>
    <t>TC_TASK_10</t>
  </si>
  <si>
    <t>Xóa task khỏi hệ thống</t>
  </si>
  <si>
    <t>Có quyền quản lý task</t>
  </si>
  <si>
    <t>HTTP 200 OK
{"message": "Task deleted successfully"}</t>
  </si>
  <si>
    <t>HTTP 200 OK: Xóa task thành công khỏi DB.</t>
  </si>
  <si>
    <t>DANH MỤC CÁC ENDPOINT API CẦN KIỂM THỬ TRÊN SWAGGER / POSTMAN</t>
  </si>
  <si>
    <t>FastAPI Application Endpoints Reference Guide</t>
  </si>
  <si>
    <t>STT</t>
  </si>
  <si>
    <t>Endpoint</t>
  </si>
  <si>
    <t>Method</t>
  </si>
  <si>
    <t>Mô tả nghiệp vụ</t>
  </si>
  <si>
    <t>Yêu cầu Token (Auth)</t>
  </si>
  <si>
    <t>Số Test Case tương ứng</t>
  </si>
  <si>
    <t>Auth</t>
  </si>
  <si>
    <t>Đăng ký người dùng mới vào hệ thống</t>
  </si>
  <si>
    <t>Không (Public)</t>
  </si>
  <si>
    <t>Đăng nhập xác thực và cấp JWT Token</t>
  </si>
  <si>
    <t>Xem thông tin tài khoản của user đang đăng nhập</t>
  </si>
  <si>
    <t>Có (Bearer Token)</t>
  </si>
  <si>
    <t>Lấy danh sách người dùng phân trang &amp; tìm kiếm</t>
  </si>
  <si>
    <t>Có (Admin/Manager)</t>
  </si>
  <si>
    <t>/api/v1/users/{id}</t>
  </si>
  <si>
    <t>Lấy chi tiết hồ sơ người dùng theo ID</t>
  </si>
  <si>
    <t>Cập nhật thông tin profile người dùng</t>
  </si>
  <si>
    <t>Xóa / Vô hiệu hóa tài khoản người dùng</t>
  </si>
  <si>
    <t>Có (Admin)</t>
  </si>
  <si>
    <t>Tạo một dự án quản lý mới</t>
  </si>
  <si>
    <t>Lấy danh sách dự án với bộ lọc theo trạng thái</t>
  </si>
  <si>
    <t>/api/v1/projects/{id}</t>
  </si>
  <si>
    <t>Xem chi tiết dự án, thành viên &amp; tasks</t>
  </si>
  <si>
    <t>Cập nhật tên, mô tả, hạn chót dự án</t>
  </si>
  <si>
    <t>Có (Owner/Admin)</t>
  </si>
  <si>
    <t>Xóa dự án khỏi hệ thống</t>
  </si>
  <si>
    <t>/api/v1/projects/{id}/members</t>
  </si>
  <si>
    <t>Tạo công việc mới gán cho thành viên dự án</t>
  </si>
  <si>
    <t>Lấy danh sách công việc (lọc project_id, status)</t>
  </si>
  <si>
    <t>/api/v1/tasks/{id}</t>
  </si>
  <si>
    <t>Xem chi tiết tiến độ công việc</t>
  </si>
  <si>
    <t>/api/v1/tasks/{id}/status</t>
  </si>
  <si>
    <t>Cập nhật nhanh trạng thái hoàn thành task</t>
  </si>
  <si>
    <t>Có (Assignee/Owner)</t>
  </si>
  <si>
    <t>/api/v1/tasks/{id}/assign</t>
  </si>
  <si>
    <t>Chuyển giao task cho thành viên khác</t>
  </si>
  <si>
    <t>Có (Owner/Manager)</t>
  </si>
  <si>
    <t>Cập nhật toàn diện thông tin task</t>
  </si>
  <si>
    <t>Xóa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</si>
</sst>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1E293B"/>
      <name val="Segoe UI"/>
    </font>
    <font>
      <i/>
      <sz val="11"/>
      <color rgb="FF64748B"/>
      <name val="Segoe UI"/>
    </font>
    <font>
      <b/>
      <sz val="11"/>
      <color rgb="FFFFFFFF"/>
      <name val="Segoe UI"/>
    </font>
    <font>
      <sz val="10"/>
      <color rgb="FF334155"/>
      <name val="Segoe UI"/>
    </font>
    <font>
      <b/>
      <sz val="10"/>
      <color rgb="FF16A34A"/>
      <name val="Segoe UI"/>
    </font>
    <font>
      <sz val="9"/>
      <color rgb="FF0F172A"/>
      <name val="Consolas"/>
    </font>
    <font>
      <b/>
      <sz val="11"/>
      <color rgb="FF15803D"/>
      <name val="Segoe UI"/>
    </font>
    <font>
      <b/>
      <sz val="11"/>
      <color rgb="FFB91C1C"/>
      <name val="Segoe UI"/>
    </font>
    <font>
      <b/>
      <sz val="10"/>
      <color rgb="FF2563EB"/>
      <name val="Segoe UI"/>
    </font>
    <font>
      <b/>
      <sz val="10"/>
      <color rgb="FFD97706"/>
      <name val="Segoe UI"/>
    </font>
    <font>
      <b/>
      <sz val="10"/>
      <color rgb="FFDC2626"/>
      <name val="Segoe UI"/>
    </font>
    <font>
      <b/>
      <sz val="10"/>
      <color rgb="FF1E293B"/>
      <name val="Segoe UI"/>
    </font>
    <font>
      <b/>
      <sz val="12"/>
      <color rgb="FF0F172A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3B82F6"/>
        <bgColor rgb="FF3B82F6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2" fillId="8" borderId="2" xfId="0" applyFont="1" applyFill="1" applyBorder="1"/>
    <xf numFmtId="0" fontId="4" fillId="0" borderId="2" xfId="0" applyFont="1" applyBorder="1"/>
    <xf numFmtId="0" fontId="13" fillId="0" borderId="0" xfId="0" applyFont="1"/>
    <xf numFmtId="0" fontId="3" fillId="2" borderId="1" xfId="0" applyFont="1" applyFill="1" applyBorder="1"/>
    <xf numFmtId="0" fontId="3" fillId="7" borderId="1" xfId="0" applyFont="1" applyFill="1" applyBorder="1"/>
    <xf numFmtId="0" fontId="12" fillId="0" borderId="2" xfId="0" applyFont="1" applyBorder="1"/>
    <xf numFmtId="0" fontId="12" fillId="0" borderId="2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Tỷ lệ Pass / Fail (Báo cáo Bug)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'Tổng quan &amp; Thống kê'!$E$19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'Tổng quan &amp; Thống kê'!$D$20:$D$21</c:f>
              <c:strCache>
                <c:ptCount val="2"/>
                <c:pt idx="0">
                  <c:v>Pass (Đúng kỳ vọng)</c:v>
                </c:pt>
                <c:pt idx="1">
                  <c:v>Fail (Phát hiện Bug)</c:v>
                </c:pt>
              </c:strCache>
            </c:strRef>
          </c:cat>
          <c:val>
            <c:numRef>
              <c:f>'Tổng quan &amp; Thống kê'!$E$20:$E$21</c:f>
              <c:numCache>
                <c:formatCode>General</c:formatCode>
                <c:ptCount val="2"/>
                <c:pt idx="0">
                  <c:v>30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0-44EC-8894-E979D5D67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B23" sqref="B23"/>
    </sheetView>
  </sheetViews>
  <sheetFormatPr defaultRowHeight="14.4" x14ac:dyDescent="0.3"/>
  <cols>
    <col min="1" max="1" width="32" customWidth="1"/>
    <col min="2" max="2" width="45" customWidth="1"/>
    <col min="3" max="3" width="4" customWidth="1"/>
    <col min="4" max="4" width="28" customWidth="1"/>
    <col min="5" max="5" width="22" customWidth="1"/>
    <col min="6" max="6" width="4" customWidth="1"/>
  </cols>
  <sheetData>
    <row r="1" spans="1:5" ht="31.95" customHeight="1" x14ac:dyDescent="0.55000000000000004">
      <c r="A1" s="1" t="s">
        <v>0</v>
      </c>
    </row>
    <row r="2" spans="1:5" ht="19.95" customHeight="1" x14ac:dyDescent="0.4">
      <c r="A2" s="2" t="s">
        <v>1</v>
      </c>
    </row>
    <row r="4" spans="1:5" ht="15" x14ac:dyDescent="0.35">
      <c r="A4" s="3" t="s">
        <v>2</v>
      </c>
      <c r="B4" s="4" t="s">
        <v>3</v>
      </c>
    </row>
    <row r="5" spans="1:5" ht="15" x14ac:dyDescent="0.35">
      <c r="A5" s="3" t="s">
        <v>4</v>
      </c>
      <c r="B5" s="4" t="s">
        <v>5</v>
      </c>
    </row>
    <row r="6" spans="1:5" ht="15" x14ac:dyDescent="0.35">
      <c r="A6" s="3" t="s">
        <v>6</v>
      </c>
      <c r="B6" s="4" t="s">
        <v>7</v>
      </c>
    </row>
    <row r="7" spans="1:5" ht="15" x14ac:dyDescent="0.35">
      <c r="A7" s="3" t="s">
        <v>8</v>
      </c>
      <c r="B7" s="4" t="s">
        <v>9</v>
      </c>
    </row>
    <row r="10" spans="1:5" ht="19.2" x14ac:dyDescent="0.45">
      <c r="A10" s="5" t="s">
        <v>10</v>
      </c>
      <c r="D10" s="5" t="s">
        <v>11</v>
      </c>
    </row>
    <row r="11" spans="1:5" ht="16.8" x14ac:dyDescent="0.4">
      <c r="A11" s="6" t="s">
        <v>12</v>
      </c>
      <c r="B11" s="6" t="s">
        <v>13</v>
      </c>
      <c r="D11" s="7" t="s">
        <v>14</v>
      </c>
      <c r="E11" s="7" t="s">
        <v>15</v>
      </c>
    </row>
    <row r="12" spans="1:5" ht="15" x14ac:dyDescent="0.35">
      <c r="A12" s="8" t="s">
        <v>16</v>
      </c>
      <c r="B12" s="9">
        <f>COUNTA('Danh mục API'!C5:C24)</f>
        <v>20</v>
      </c>
      <c r="D12" s="4" t="s">
        <v>17</v>
      </c>
      <c r="E12" s="9">
        <f>COUNTIF('Checklist Test API'!B5:B34, "Authentication")</f>
        <v>10</v>
      </c>
    </row>
    <row r="13" spans="1:5" ht="15" x14ac:dyDescent="0.35">
      <c r="A13" s="8" t="s">
        <v>18</v>
      </c>
      <c r="B13" s="9">
        <f>COUNTA('Checklist Test API'!A5:A34)</f>
        <v>30</v>
      </c>
      <c r="D13" s="4" t="s">
        <v>19</v>
      </c>
      <c r="E13" s="9">
        <f>COUNTIF('Checklist Test API'!B5:B34, "Users")</f>
        <v>6</v>
      </c>
    </row>
    <row r="14" spans="1:5" ht="15" x14ac:dyDescent="0.35">
      <c r="A14" s="8" t="s">
        <v>20</v>
      </c>
      <c r="B14" s="9">
        <f>COUNTIF('Checklist Test API'!L5:L34, "Pass")</f>
        <v>26</v>
      </c>
      <c r="D14" s="4" t="s">
        <v>21</v>
      </c>
      <c r="E14" s="9">
        <f>COUNTIF('Checklist Test API'!B5:B34, "Projects")</f>
        <v>10</v>
      </c>
    </row>
    <row r="15" spans="1:5" ht="15" x14ac:dyDescent="0.35">
      <c r="A15" s="8" t="s">
        <v>22</v>
      </c>
      <c r="B15" s="9">
        <f>COUNTIF('Checklist Test API'!L5:L34, "Fail")</f>
        <v>4</v>
      </c>
      <c r="D15" s="4" t="s">
        <v>23</v>
      </c>
      <c r="E15" s="9">
        <f>COUNTIF('Checklist Test API'!B5:B34, "Tasks")</f>
        <v>4</v>
      </c>
    </row>
    <row r="16" spans="1:5" ht="15" x14ac:dyDescent="0.35">
      <c r="A16" s="8" t="s">
        <v>24</v>
      </c>
      <c r="B16" s="10">
        <f>B13/B12</f>
        <v>1.5</v>
      </c>
    </row>
    <row r="17" spans="1:5" ht="15" x14ac:dyDescent="0.35">
      <c r="A17" s="8" t="s">
        <v>25</v>
      </c>
      <c r="B17" s="10">
        <f>B14/B12</f>
        <v>1.3</v>
      </c>
    </row>
    <row r="18" spans="1:5" ht="19.2" x14ac:dyDescent="0.45">
      <c r="D18" s="5" t="s">
        <v>26</v>
      </c>
    </row>
    <row r="19" spans="1:5" ht="16.8" x14ac:dyDescent="0.4">
      <c r="D19" s="7" t="s">
        <v>27</v>
      </c>
      <c r="E19" s="7" t="s">
        <v>28</v>
      </c>
    </row>
    <row r="20" spans="1:5" ht="15" x14ac:dyDescent="0.35">
      <c r="D20" s="4" t="s">
        <v>29</v>
      </c>
      <c r="E20" s="9">
        <f>B13</f>
        <v>30</v>
      </c>
    </row>
    <row r="21" spans="1:5" ht="15" x14ac:dyDescent="0.35">
      <c r="D21" s="4" t="s">
        <v>30</v>
      </c>
      <c r="E21" s="9">
        <f>B14</f>
        <v>26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workbookViewId="0">
      <pane ySplit="4" topLeftCell="A19" activePane="bottomLeft" state="frozen"/>
      <selection pane="bottomLeft" activeCell="B26" sqref="B26"/>
    </sheetView>
  </sheetViews>
  <sheetFormatPr defaultRowHeight="14.4" x14ac:dyDescent="0.3"/>
  <cols>
    <col min="1" max="1" width="15" customWidth="1"/>
    <col min="2" max="2" width="18" customWidth="1"/>
    <col min="3" max="3" width="26" customWidth="1"/>
    <col min="4" max="4" width="14" customWidth="1"/>
    <col min="5" max="5" width="22" customWidth="1"/>
    <col min="6" max="6" width="35" customWidth="1"/>
    <col min="7" max="7" width="28" customWidth="1"/>
    <col min="8" max="8" width="38" customWidth="1"/>
    <col min="9" max="9" width="14" customWidth="1"/>
    <col min="10" max="10" width="40" customWidth="1"/>
    <col min="11" max="11" width="44" customWidth="1"/>
    <col min="12" max="12" width="15" customWidth="1"/>
    <col min="13" max="13" width="35" customWidth="1"/>
  </cols>
  <sheetData>
    <row r="1" spans="1:13" ht="28.05" customHeight="1" x14ac:dyDescent="0.3">
      <c r="A1" s="31" t="s">
        <v>31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9.95" customHeight="1" x14ac:dyDescent="0.3">
      <c r="A2" s="29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ht="25.95" customHeight="1" x14ac:dyDescent="0.3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</row>
    <row r="5" spans="1:13" ht="48" customHeight="1" x14ac:dyDescent="0.3">
      <c r="A5" s="12" t="s">
        <v>46</v>
      </c>
      <c r="B5" s="13" t="s">
        <v>17</v>
      </c>
      <c r="C5" s="13" t="s">
        <v>47</v>
      </c>
      <c r="D5" s="14" t="s">
        <v>48</v>
      </c>
      <c r="E5" s="12" t="s">
        <v>49</v>
      </c>
      <c r="F5" s="13" t="s">
        <v>50</v>
      </c>
      <c r="G5" s="13" t="s">
        <v>51</v>
      </c>
      <c r="H5" s="15" t="s">
        <v>52</v>
      </c>
      <c r="I5" s="12">
        <v>201</v>
      </c>
      <c r="J5" s="15" t="s">
        <v>53</v>
      </c>
      <c r="K5" s="13" t="s">
        <v>54</v>
      </c>
      <c r="L5" s="16" t="s">
        <v>55</v>
      </c>
      <c r="M5" s="13" t="s">
        <v>56</v>
      </c>
    </row>
    <row r="6" spans="1:13" ht="48" customHeight="1" x14ac:dyDescent="0.3">
      <c r="A6" s="17" t="s">
        <v>57</v>
      </c>
      <c r="B6" s="18" t="s">
        <v>17</v>
      </c>
      <c r="C6" s="18" t="s">
        <v>47</v>
      </c>
      <c r="D6" s="19" t="s">
        <v>48</v>
      </c>
      <c r="E6" s="17" t="s">
        <v>58</v>
      </c>
      <c r="F6" s="18" t="s">
        <v>59</v>
      </c>
      <c r="G6" s="18" t="s">
        <v>60</v>
      </c>
      <c r="H6" s="20" t="s">
        <v>61</v>
      </c>
      <c r="I6" s="17">
        <v>400</v>
      </c>
      <c r="J6" s="20" t="s">
        <v>62</v>
      </c>
      <c r="K6" s="18" t="s">
        <v>63</v>
      </c>
      <c r="L6" s="16" t="s">
        <v>55</v>
      </c>
      <c r="M6" s="18" t="s">
        <v>64</v>
      </c>
    </row>
    <row r="7" spans="1:13" ht="48" customHeight="1" x14ac:dyDescent="0.3">
      <c r="A7" s="12" t="s">
        <v>65</v>
      </c>
      <c r="B7" s="13" t="s">
        <v>17</v>
      </c>
      <c r="C7" s="13" t="s">
        <v>47</v>
      </c>
      <c r="D7" s="14" t="s">
        <v>48</v>
      </c>
      <c r="E7" s="12" t="s">
        <v>66</v>
      </c>
      <c r="F7" s="13" t="s">
        <v>67</v>
      </c>
      <c r="G7" s="13" t="s">
        <v>68</v>
      </c>
      <c r="H7" s="15" t="s">
        <v>69</v>
      </c>
      <c r="I7" s="12">
        <v>422</v>
      </c>
      <c r="J7" s="15" t="s">
        <v>70</v>
      </c>
      <c r="K7" s="13" t="s">
        <v>71</v>
      </c>
      <c r="L7" s="16" t="s">
        <v>55</v>
      </c>
      <c r="M7" s="13" t="s">
        <v>72</v>
      </c>
    </row>
    <row r="8" spans="1:13" ht="48" customHeight="1" x14ac:dyDescent="0.3">
      <c r="A8" s="17" t="s">
        <v>73</v>
      </c>
      <c r="B8" s="18" t="s">
        <v>17</v>
      </c>
      <c r="C8" s="18" t="s">
        <v>47</v>
      </c>
      <c r="D8" s="19" t="s">
        <v>48</v>
      </c>
      <c r="E8" s="17" t="s">
        <v>74</v>
      </c>
      <c r="F8" s="18" t="s">
        <v>75</v>
      </c>
      <c r="G8" s="18" t="s">
        <v>68</v>
      </c>
      <c r="H8" s="20" t="s">
        <v>76</v>
      </c>
      <c r="I8" s="17">
        <v>422</v>
      </c>
      <c r="J8" s="20" t="s">
        <v>77</v>
      </c>
      <c r="K8" s="18" t="s">
        <v>78</v>
      </c>
      <c r="L8" s="21" t="s">
        <v>79</v>
      </c>
      <c r="M8" s="18" t="s">
        <v>80</v>
      </c>
    </row>
    <row r="9" spans="1:13" ht="48" customHeight="1" x14ac:dyDescent="0.3">
      <c r="A9" s="12" t="s">
        <v>81</v>
      </c>
      <c r="B9" s="13" t="s">
        <v>17</v>
      </c>
      <c r="C9" s="13" t="s">
        <v>82</v>
      </c>
      <c r="D9" s="14" t="s">
        <v>48</v>
      </c>
      <c r="E9" s="12" t="s">
        <v>49</v>
      </c>
      <c r="F9" s="13" t="s">
        <v>83</v>
      </c>
      <c r="G9" s="13" t="s">
        <v>84</v>
      </c>
      <c r="H9" s="15" t="s">
        <v>85</v>
      </c>
      <c r="I9" s="12">
        <v>200</v>
      </c>
      <c r="J9" s="15" t="s">
        <v>86</v>
      </c>
      <c r="K9" s="13" t="s">
        <v>87</v>
      </c>
      <c r="L9" s="16" t="s">
        <v>55</v>
      </c>
      <c r="M9" s="13" t="s">
        <v>56</v>
      </c>
    </row>
    <row r="10" spans="1:13" ht="48" customHeight="1" x14ac:dyDescent="0.3">
      <c r="A10" s="17" t="s">
        <v>88</v>
      </c>
      <c r="B10" s="18" t="s">
        <v>17</v>
      </c>
      <c r="C10" s="18" t="s">
        <v>82</v>
      </c>
      <c r="D10" s="19" t="s">
        <v>48</v>
      </c>
      <c r="E10" s="17" t="s">
        <v>58</v>
      </c>
      <c r="F10" s="18" t="s">
        <v>89</v>
      </c>
      <c r="G10" s="18" t="s">
        <v>90</v>
      </c>
      <c r="H10" s="20" t="s">
        <v>91</v>
      </c>
      <c r="I10" s="17">
        <v>401</v>
      </c>
      <c r="J10" s="20" t="s">
        <v>92</v>
      </c>
      <c r="K10" s="18" t="s">
        <v>93</v>
      </c>
      <c r="L10" s="16" t="s">
        <v>55</v>
      </c>
      <c r="M10" s="18" t="s">
        <v>94</v>
      </c>
    </row>
    <row r="11" spans="1:13" ht="48" customHeight="1" x14ac:dyDescent="0.3">
      <c r="A11" s="12" t="s">
        <v>95</v>
      </c>
      <c r="B11" s="13" t="s">
        <v>17</v>
      </c>
      <c r="C11" s="13" t="s">
        <v>82</v>
      </c>
      <c r="D11" s="14" t="s">
        <v>48</v>
      </c>
      <c r="E11" s="12" t="s">
        <v>58</v>
      </c>
      <c r="F11" s="13" t="s">
        <v>96</v>
      </c>
      <c r="G11" s="13" t="s">
        <v>97</v>
      </c>
      <c r="H11" s="15" t="s">
        <v>98</v>
      </c>
      <c r="I11" s="12">
        <v>401</v>
      </c>
      <c r="J11" s="15" t="s">
        <v>92</v>
      </c>
      <c r="K11" s="13" t="s">
        <v>99</v>
      </c>
      <c r="L11" s="16" t="s">
        <v>55</v>
      </c>
      <c r="M11" s="13" t="s">
        <v>94</v>
      </c>
    </row>
    <row r="12" spans="1:13" ht="48" customHeight="1" x14ac:dyDescent="0.3">
      <c r="A12" s="17" t="s">
        <v>100</v>
      </c>
      <c r="B12" s="18" t="s">
        <v>17</v>
      </c>
      <c r="C12" s="18" t="s">
        <v>101</v>
      </c>
      <c r="D12" s="22" t="s">
        <v>102</v>
      </c>
      <c r="E12" s="17" t="s">
        <v>49</v>
      </c>
      <c r="F12" s="18" t="s">
        <v>103</v>
      </c>
      <c r="G12" s="18" t="s">
        <v>104</v>
      </c>
      <c r="H12" s="20" t="s">
        <v>105</v>
      </c>
      <c r="I12" s="17">
        <v>200</v>
      </c>
      <c r="J12" s="20" t="s">
        <v>106</v>
      </c>
      <c r="K12" s="18" t="s">
        <v>107</v>
      </c>
      <c r="L12" s="16" t="s">
        <v>55</v>
      </c>
      <c r="M12" s="18" t="s">
        <v>56</v>
      </c>
    </row>
    <row r="13" spans="1:13" ht="48" customHeight="1" x14ac:dyDescent="0.3">
      <c r="A13" s="12" t="s">
        <v>108</v>
      </c>
      <c r="B13" s="13" t="s">
        <v>17</v>
      </c>
      <c r="C13" s="13" t="s">
        <v>101</v>
      </c>
      <c r="D13" s="23" t="s">
        <v>102</v>
      </c>
      <c r="E13" s="12" t="s">
        <v>109</v>
      </c>
      <c r="F13" s="13" t="s">
        <v>110</v>
      </c>
      <c r="G13" s="13" t="s">
        <v>68</v>
      </c>
      <c r="H13" s="15" t="s">
        <v>111</v>
      </c>
      <c r="I13" s="12">
        <v>401</v>
      </c>
      <c r="J13" s="15" t="s">
        <v>112</v>
      </c>
      <c r="K13" s="13" t="s">
        <v>113</v>
      </c>
      <c r="L13" s="16" t="s">
        <v>55</v>
      </c>
      <c r="M13" s="13" t="s">
        <v>114</v>
      </c>
    </row>
    <row r="14" spans="1:13" ht="48" customHeight="1" x14ac:dyDescent="0.3">
      <c r="A14" s="17" t="s">
        <v>115</v>
      </c>
      <c r="B14" s="18" t="s">
        <v>17</v>
      </c>
      <c r="C14" s="18" t="s">
        <v>101</v>
      </c>
      <c r="D14" s="22" t="s">
        <v>102</v>
      </c>
      <c r="E14" s="17" t="s">
        <v>109</v>
      </c>
      <c r="F14" s="18" t="s">
        <v>116</v>
      </c>
      <c r="G14" s="18" t="s">
        <v>117</v>
      </c>
      <c r="H14" s="20" t="s">
        <v>118</v>
      </c>
      <c r="I14" s="17">
        <v>401</v>
      </c>
      <c r="J14" s="20" t="s">
        <v>119</v>
      </c>
      <c r="K14" s="18" t="s">
        <v>120</v>
      </c>
      <c r="L14" s="16" t="s">
        <v>55</v>
      </c>
      <c r="M14" s="18" t="s">
        <v>121</v>
      </c>
    </row>
    <row r="15" spans="1:13" ht="48" customHeight="1" x14ac:dyDescent="0.3">
      <c r="A15" s="12" t="s">
        <v>122</v>
      </c>
      <c r="B15" s="13" t="s">
        <v>19</v>
      </c>
      <c r="C15" s="13" t="s">
        <v>123</v>
      </c>
      <c r="D15" s="23" t="s">
        <v>102</v>
      </c>
      <c r="E15" s="12" t="s">
        <v>49</v>
      </c>
      <c r="F15" s="13" t="s">
        <v>124</v>
      </c>
      <c r="G15" s="13" t="s">
        <v>125</v>
      </c>
      <c r="H15" s="15" t="s">
        <v>126</v>
      </c>
      <c r="I15" s="12">
        <v>200</v>
      </c>
      <c r="J15" s="15" t="s">
        <v>127</v>
      </c>
      <c r="K15" s="13" t="s">
        <v>128</v>
      </c>
      <c r="L15" s="16" t="s">
        <v>55</v>
      </c>
      <c r="M15" s="13" t="s">
        <v>56</v>
      </c>
    </row>
    <row r="16" spans="1:13" ht="48" customHeight="1" x14ac:dyDescent="0.3">
      <c r="A16" s="17" t="s">
        <v>129</v>
      </c>
      <c r="B16" s="18" t="s">
        <v>19</v>
      </c>
      <c r="C16" s="18" t="s">
        <v>123</v>
      </c>
      <c r="D16" s="22" t="s">
        <v>102</v>
      </c>
      <c r="E16" s="17" t="s">
        <v>130</v>
      </c>
      <c r="F16" s="18" t="s">
        <v>131</v>
      </c>
      <c r="G16" s="18" t="s">
        <v>132</v>
      </c>
      <c r="H16" s="20" t="s">
        <v>133</v>
      </c>
      <c r="I16" s="17">
        <v>403</v>
      </c>
      <c r="J16" s="20" t="s">
        <v>134</v>
      </c>
      <c r="K16" s="18" t="s">
        <v>135</v>
      </c>
      <c r="L16" s="21" t="s">
        <v>79</v>
      </c>
      <c r="M16" s="18" t="s">
        <v>136</v>
      </c>
    </row>
    <row r="17" spans="1:13" ht="48" customHeight="1" x14ac:dyDescent="0.3">
      <c r="A17" s="12" t="s">
        <v>137</v>
      </c>
      <c r="B17" s="13" t="s">
        <v>19</v>
      </c>
      <c r="C17" s="13" t="s">
        <v>138</v>
      </c>
      <c r="D17" s="23" t="s">
        <v>102</v>
      </c>
      <c r="E17" s="12" t="s">
        <v>49</v>
      </c>
      <c r="F17" s="13" t="s">
        <v>139</v>
      </c>
      <c r="G17" s="13" t="s">
        <v>140</v>
      </c>
      <c r="H17" s="15" t="s">
        <v>141</v>
      </c>
      <c r="I17" s="12">
        <v>200</v>
      </c>
      <c r="J17" s="15" t="s">
        <v>106</v>
      </c>
      <c r="K17" s="13" t="s">
        <v>142</v>
      </c>
      <c r="L17" s="16" t="s">
        <v>55</v>
      </c>
      <c r="M17" s="13" t="s">
        <v>56</v>
      </c>
    </row>
    <row r="18" spans="1:13" ht="48" customHeight="1" x14ac:dyDescent="0.3">
      <c r="A18" s="17" t="s">
        <v>143</v>
      </c>
      <c r="B18" s="18" t="s">
        <v>19</v>
      </c>
      <c r="C18" s="18" t="s">
        <v>138</v>
      </c>
      <c r="D18" s="22" t="s">
        <v>102</v>
      </c>
      <c r="E18" s="17" t="s">
        <v>58</v>
      </c>
      <c r="F18" s="18" t="s">
        <v>144</v>
      </c>
      <c r="G18" s="18" t="s">
        <v>145</v>
      </c>
      <c r="H18" s="20" t="s">
        <v>146</v>
      </c>
      <c r="I18" s="17">
        <v>404</v>
      </c>
      <c r="J18" s="20" t="s">
        <v>147</v>
      </c>
      <c r="K18" s="18" t="s">
        <v>148</v>
      </c>
      <c r="L18" s="16" t="s">
        <v>55</v>
      </c>
      <c r="M18" s="18" t="s">
        <v>149</v>
      </c>
    </row>
    <row r="19" spans="1:13" ht="48" customHeight="1" x14ac:dyDescent="0.3">
      <c r="A19" s="12" t="s">
        <v>150</v>
      </c>
      <c r="B19" s="13" t="s">
        <v>19</v>
      </c>
      <c r="C19" s="13" t="s">
        <v>138</v>
      </c>
      <c r="D19" s="24" t="s">
        <v>151</v>
      </c>
      <c r="E19" s="12" t="s">
        <v>49</v>
      </c>
      <c r="F19" s="13" t="s">
        <v>152</v>
      </c>
      <c r="G19" s="13" t="s">
        <v>153</v>
      </c>
      <c r="H19" s="15" t="s">
        <v>154</v>
      </c>
      <c r="I19" s="12">
        <v>200</v>
      </c>
      <c r="J19" s="15" t="s">
        <v>155</v>
      </c>
      <c r="K19" s="13" t="s">
        <v>156</v>
      </c>
      <c r="L19" s="16" t="s">
        <v>55</v>
      </c>
      <c r="M19" s="13" t="s">
        <v>157</v>
      </c>
    </row>
    <row r="20" spans="1:13" ht="48" customHeight="1" x14ac:dyDescent="0.3">
      <c r="A20" s="17" t="s">
        <v>158</v>
      </c>
      <c r="B20" s="18" t="s">
        <v>19</v>
      </c>
      <c r="C20" s="18" t="s">
        <v>138</v>
      </c>
      <c r="D20" s="25" t="s">
        <v>159</v>
      </c>
      <c r="E20" s="17" t="s">
        <v>49</v>
      </c>
      <c r="F20" s="18" t="s">
        <v>160</v>
      </c>
      <c r="G20" s="18" t="s">
        <v>161</v>
      </c>
      <c r="H20" s="20" t="s">
        <v>162</v>
      </c>
      <c r="I20" s="17">
        <v>200</v>
      </c>
      <c r="J20" s="20" t="s">
        <v>163</v>
      </c>
      <c r="K20" s="18" t="s">
        <v>164</v>
      </c>
      <c r="L20" s="16" t="s">
        <v>55</v>
      </c>
      <c r="M20" s="18" t="s">
        <v>56</v>
      </c>
    </row>
    <row r="21" spans="1:13" ht="48" customHeight="1" x14ac:dyDescent="0.3">
      <c r="A21" s="12" t="s">
        <v>165</v>
      </c>
      <c r="B21" s="13" t="s">
        <v>21</v>
      </c>
      <c r="C21" s="13" t="s">
        <v>166</v>
      </c>
      <c r="D21" s="14" t="s">
        <v>48</v>
      </c>
      <c r="E21" s="12" t="s">
        <v>49</v>
      </c>
      <c r="F21" s="13" t="s">
        <v>167</v>
      </c>
      <c r="G21" s="13" t="s">
        <v>168</v>
      </c>
      <c r="H21" s="15" t="s">
        <v>169</v>
      </c>
      <c r="I21" s="12">
        <v>201</v>
      </c>
      <c r="J21" s="15" t="s">
        <v>170</v>
      </c>
      <c r="K21" s="13" t="s">
        <v>171</v>
      </c>
      <c r="L21" s="16" t="s">
        <v>55</v>
      </c>
      <c r="M21" s="13" t="s">
        <v>56</v>
      </c>
    </row>
    <row r="22" spans="1:13" ht="48" customHeight="1" x14ac:dyDescent="0.3">
      <c r="A22" s="17" t="s">
        <v>172</v>
      </c>
      <c r="B22" s="18" t="s">
        <v>21</v>
      </c>
      <c r="C22" s="18" t="s">
        <v>166</v>
      </c>
      <c r="D22" s="19" t="s">
        <v>48</v>
      </c>
      <c r="E22" s="17" t="s">
        <v>66</v>
      </c>
      <c r="F22" s="18" t="s">
        <v>173</v>
      </c>
      <c r="G22" s="18" t="s">
        <v>174</v>
      </c>
      <c r="H22" s="20" t="s">
        <v>175</v>
      </c>
      <c r="I22" s="17">
        <v>422</v>
      </c>
      <c r="J22" s="20" t="s">
        <v>176</v>
      </c>
      <c r="K22" s="18" t="s">
        <v>177</v>
      </c>
      <c r="L22" s="16" t="s">
        <v>55</v>
      </c>
      <c r="M22" s="18" t="s">
        <v>178</v>
      </c>
    </row>
    <row r="23" spans="1:13" ht="48" customHeight="1" x14ac:dyDescent="0.3">
      <c r="A23" s="12" t="s">
        <v>179</v>
      </c>
      <c r="B23" s="13" t="s">
        <v>21</v>
      </c>
      <c r="C23" s="13" t="s">
        <v>166</v>
      </c>
      <c r="D23" s="14" t="s">
        <v>48</v>
      </c>
      <c r="E23" s="12" t="s">
        <v>180</v>
      </c>
      <c r="F23" s="13" t="s">
        <v>181</v>
      </c>
      <c r="G23" s="13" t="s">
        <v>174</v>
      </c>
      <c r="H23" s="15" t="s">
        <v>182</v>
      </c>
      <c r="I23" s="12">
        <v>400</v>
      </c>
      <c r="J23" s="15" t="s">
        <v>183</v>
      </c>
      <c r="K23" s="13" t="s">
        <v>184</v>
      </c>
      <c r="L23" s="21" t="s">
        <v>79</v>
      </c>
      <c r="M23" s="13" t="s">
        <v>185</v>
      </c>
    </row>
    <row r="24" spans="1:13" ht="48" customHeight="1" x14ac:dyDescent="0.3">
      <c r="A24" s="17" t="s">
        <v>186</v>
      </c>
      <c r="B24" s="18" t="s">
        <v>21</v>
      </c>
      <c r="C24" s="18" t="s">
        <v>166</v>
      </c>
      <c r="D24" s="22" t="s">
        <v>102</v>
      </c>
      <c r="E24" s="17" t="s">
        <v>49</v>
      </c>
      <c r="F24" s="18" t="s">
        <v>187</v>
      </c>
      <c r="G24" s="18" t="s">
        <v>174</v>
      </c>
      <c r="H24" s="20" t="s">
        <v>188</v>
      </c>
      <c r="I24" s="17">
        <v>200</v>
      </c>
      <c r="J24" s="20" t="s">
        <v>189</v>
      </c>
      <c r="K24" s="18" t="s">
        <v>190</v>
      </c>
      <c r="L24" s="16" t="s">
        <v>55</v>
      </c>
      <c r="M24" s="18" t="s">
        <v>191</v>
      </c>
    </row>
    <row r="25" spans="1:13" ht="48" customHeight="1" x14ac:dyDescent="0.3">
      <c r="A25" s="12" t="s">
        <v>192</v>
      </c>
      <c r="B25" s="13" t="s">
        <v>21</v>
      </c>
      <c r="C25" s="13" t="s">
        <v>193</v>
      </c>
      <c r="D25" s="23" t="s">
        <v>102</v>
      </c>
      <c r="E25" s="12" t="s">
        <v>49</v>
      </c>
      <c r="F25" s="13" t="s">
        <v>194</v>
      </c>
      <c r="G25" s="13" t="s">
        <v>195</v>
      </c>
      <c r="H25" s="15" t="s">
        <v>196</v>
      </c>
      <c r="I25" s="12">
        <v>200</v>
      </c>
      <c r="J25" s="15" t="s">
        <v>197</v>
      </c>
      <c r="K25" s="13" t="s">
        <v>198</v>
      </c>
      <c r="L25" s="16" t="s">
        <v>55</v>
      </c>
      <c r="M25" s="13" t="s">
        <v>56</v>
      </c>
    </row>
    <row r="26" spans="1:13" ht="48" customHeight="1" x14ac:dyDescent="0.3">
      <c r="A26" s="17" t="s">
        <v>199</v>
      </c>
      <c r="B26" s="18" t="s">
        <v>21</v>
      </c>
      <c r="C26" s="18" t="s">
        <v>193</v>
      </c>
      <c r="D26" s="22" t="s">
        <v>102</v>
      </c>
      <c r="E26" s="17" t="s">
        <v>58</v>
      </c>
      <c r="F26" s="18" t="s">
        <v>200</v>
      </c>
      <c r="G26" s="18" t="s">
        <v>201</v>
      </c>
      <c r="H26" s="20" t="s">
        <v>202</v>
      </c>
      <c r="I26" s="17">
        <v>404</v>
      </c>
      <c r="J26" s="20" t="s">
        <v>203</v>
      </c>
      <c r="K26" s="18" t="s">
        <v>204</v>
      </c>
      <c r="L26" s="16" t="s">
        <v>55</v>
      </c>
      <c r="M26" s="18" t="s">
        <v>205</v>
      </c>
    </row>
    <row r="27" spans="1:13" ht="48" customHeight="1" x14ac:dyDescent="0.3">
      <c r="A27" s="12" t="s">
        <v>206</v>
      </c>
      <c r="B27" s="13" t="s">
        <v>21</v>
      </c>
      <c r="C27" s="13" t="s">
        <v>193</v>
      </c>
      <c r="D27" s="24" t="s">
        <v>151</v>
      </c>
      <c r="E27" s="12" t="s">
        <v>49</v>
      </c>
      <c r="F27" s="13" t="s">
        <v>207</v>
      </c>
      <c r="G27" s="13" t="s">
        <v>208</v>
      </c>
      <c r="H27" s="15" t="s">
        <v>209</v>
      </c>
      <c r="I27" s="12">
        <v>200</v>
      </c>
      <c r="J27" s="15" t="s">
        <v>210</v>
      </c>
      <c r="K27" s="13" t="s">
        <v>211</v>
      </c>
      <c r="L27" s="16" t="s">
        <v>55</v>
      </c>
      <c r="M27" s="13" t="s">
        <v>56</v>
      </c>
    </row>
    <row r="28" spans="1:13" ht="48" customHeight="1" x14ac:dyDescent="0.3">
      <c r="A28" s="17" t="s">
        <v>212</v>
      </c>
      <c r="B28" s="18" t="s">
        <v>21</v>
      </c>
      <c r="C28" s="18" t="s">
        <v>193</v>
      </c>
      <c r="D28" s="26" t="s">
        <v>151</v>
      </c>
      <c r="E28" s="17" t="s">
        <v>213</v>
      </c>
      <c r="F28" s="18" t="s">
        <v>214</v>
      </c>
      <c r="G28" s="18" t="s">
        <v>215</v>
      </c>
      <c r="H28" s="20" t="s">
        <v>216</v>
      </c>
      <c r="I28" s="17">
        <v>403</v>
      </c>
      <c r="J28" s="20" t="s">
        <v>217</v>
      </c>
      <c r="K28" s="18" t="s">
        <v>218</v>
      </c>
      <c r="L28" s="16" t="s">
        <v>55</v>
      </c>
      <c r="M28" s="18" t="s">
        <v>219</v>
      </c>
    </row>
    <row r="29" spans="1:13" ht="48" customHeight="1" x14ac:dyDescent="0.3">
      <c r="A29" s="12" t="s">
        <v>220</v>
      </c>
      <c r="B29" s="13" t="s">
        <v>21</v>
      </c>
      <c r="C29" s="13" t="s">
        <v>193</v>
      </c>
      <c r="D29" s="27" t="s">
        <v>159</v>
      </c>
      <c r="E29" s="12" t="s">
        <v>49</v>
      </c>
      <c r="F29" s="13" t="s">
        <v>221</v>
      </c>
      <c r="G29" s="13" t="s">
        <v>222</v>
      </c>
      <c r="H29" s="15" t="s">
        <v>196</v>
      </c>
      <c r="I29" s="12">
        <v>200</v>
      </c>
      <c r="J29" s="15" t="s">
        <v>223</v>
      </c>
      <c r="K29" s="13" t="s">
        <v>224</v>
      </c>
      <c r="L29" s="16" t="s">
        <v>55</v>
      </c>
      <c r="M29" s="13" t="s">
        <v>56</v>
      </c>
    </row>
    <row r="30" spans="1:13" ht="48" customHeight="1" x14ac:dyDescent="0.3">
      <c r="A30" s="17" t="s">
        <v>225</v>
      </c>
      <c r="B30" s="18" t="s">
        <v>21</v>
      </c>
      <c r="C30" s="18" t="s">
        <v>226</v>
      </c>
      <c r="D30" s="19" t="s">
        <v>48</v>
      </c>
      <c r="E30" s="17" t="s">
        <v>49</v>
      </c>
      <c r="F30" s="18" t="s">
        <v>227</v>
      </c>
      <c r="G30" s="18" t="s">
        <v>228</v>
      </c>
      <c r="H30" s="20" t="s">
        <v>229</v>
      </c>
      <c r="I30" s="17">
        <v>200</v>
      </c>
      <c r="J30" s="20" t="s">
        <v>230</v>
      </c>
      <c r="K30" s="18" t="s">
        <v>231</v>
      </c>
      <c r="L30" s="16" t="s">
        <v>55</v>
      </c>
      <c r="M30" s="18" t="s">
        <v>56</v>
      </c>
    </row>
    <row r="31" spans="1:13" ht="48" customHeight="1" x14ac:dyDescent="0.3">
      <c r="A31" s="12" t="s">
        <v>232</v>
      </c>
      <c r="B31" s="13" t="s">
        <v>23</v>
      </c>
      <c r="C31" s="13" t="s">
        <v>233</v>
      </c>
      <c r="D31" s="14" t="s">
        <v>48</v>
      </c>
      <c r="E31" s="12" t="s">
        <v>49</v>
      </c>
      <c r="F31" s="13" t="s">
        <v>234</v>
      </c>
      <c r="G31" s="13" t="s">
        <v>235</v>
      </c>
      <c r="H31" s="15" t="s">
        <v>236</v>
      </c>
      <c r="I31" s="12">
        <v>201</v>
      </c>
      <c r="J31" s="15" t="s">
        <v>237</v>
      </c>
      <c r="K31" s="13" t="s">
        <v>238</v>
      </c>
      <c r="L31" s="16" t="s">
        <v>55</v>
      </c>
      <c r="M31" s="13" t="s">
        <v>56</v>
      </c>
    </row>
    <row r="32" spans="1:13" ht="48" customHeight="1" x14ac:dyDescent="0.3">
      <c r="A32" s="17" t="s">
        <v>239</v>
      </c>
      <c r="B32" s="18" t="s">
        <v>23</v>
      </c>
      <c r="C32" s="18" t="s">
        <v>233</v>
      </c>
      <c r="D32" s="19" t="s">
        <v>48</v>
      </c>
      <c r="E32" s="17" t="s">
        <v>240</v>
      </c>
      <c r="F32" s="18" t="s">
        <v>241</v>
      </c>
      <c r="G32" s="18" t="s">
        <v>242</v>
      </c>
      <c r="H32" s="20" t="s">
        <v>243</v>
      </c>
      <c r="I32" s="17">
        <v>404</v>
      </c>
      <c r="J32" s="20" t="s">
        <v>203</v>
      </c>
      <c r="K32" s="18" t="s">
        <v>244</v>
      </c>
      <c r="L32" s="21" t="s">
        <v>79</v>
      </c>
      <c r="M32" s="18" t="s">
        <v>245</v>
      </c>
    </row>
    <row r="33" spans="1:13" ht="48" customHeight="1" x14ac:dyDescent="0.3">
      <c r="A33" s="12" t="s">
        <v>246</v>
      </c>
      <c r="B33" s="13" t="s">
        <v>23</v>
      </c>
      <c r="C33" s="13" t="s">
        <v>233</v>
      </c>
      <c r="D33" s="14" t="s">
        <v>48</v>
      </c>
      <c r="E33" s="12" t="s">
        <v>66</v>
      </c>
      <c r="F33" s="13" t="s">
        <v>247</v>
      </c>
      <c r="G33" s="13" t="s">
        <v>174</v>
      </c>
      <c r="H33" s="15" t="s">
        <v>248</v>
      </c>
      <c r="I33" s="12">
        <v>422</v>
      </c>
      <c r="J33" s="15" t="s">
        <v>249</v>
      </c>
      <c r="K33" s="13" t="s">
        <v>250</v>
      </c>
      <c r="L33" s="16" t="s">
        <v>55</v>
      </c>
      <c r="M33" s="13" t="s">
        <v>251</v>
      </c>
    </row>
    <row r="34" spans="1:13" ht="48" customHeight="1" x14ac:dyDescent="0.3">
      <c r="A34" s="17" t="s">
        <v>252</v>
      </c>
      <c r="B34" s="18" t="s">
        <v>23</v>
      </c>
      <c r="C34" s="18" t="s">
        <v>233</v>
      </c>
      <c r="D34" s="22" t="s">
        <v>102</v>
      </c>
      <c r="E34" s="17" t="s">
        <v>49</v>
      </c>
      <c r="F34" s="18" t="s">
        <v>253</v>
      </c>
      <c r="G34" s="18" t="s">
        <v>174</v>
      </c>
      <c r="H34" s="20" t="s">
        <v>254</v>
      </c>
      <c r="I34" s="17">
        <v>200</v>
      </c>
      <c r="J34" s="20" t="s">
        <v>255</v>
      </c>
      <c r="K34" s="18" t="s">
        <v>256</v>
      </c>
      <c r="L34" s="16" t="s">
        <v>55</v>
      </c>
      <c r="M34" s="18" t="s">
        <v>191</v>
      </c>
    </row>
    <row r="35" spans="1:13" ht="48" customHeight="1" x14ac:dyDescent="0.3">
      <c r="A35" s="12" t="s">
        <v>257</v>
      </c>
      <c r="B35" s="13" t="s">
        <v>23</v>
      </c>
      <c r="C35" s="13" t="s">
        <v>258</v>
      </c>
      <c r="D35" s="23" t="s">
        <v>102</v>
      </c>
      <c r="E35" s="12" t="s">
        <v>49</v>
      </c>
      <c r="F35" s="13" t="s">
        <v>259</v>
      </c>
      <c r="G35" s="13" t="s">
        <v>260</v>
      </c>
      <c r="H35" s="15" t="s">
        <v>261</v>
      </c>
      <c r="I35" s="12">
        <v>200</v>
      </c>
      <c r="J35" s="15" t="s">
        <v>262</v>
      </c>
      <c r="K35" s="13" t="s">
        <v>263</v>
      </c>
      <c r="L35" s="16" t="s">
        <v>55</v>
      </c>
      <c r="M35" s="13" t="s">
        <v>56</v>
      </c>
    </row>
    <row r="36" spans="1:13" ht="48" customHeight="1" x14ac:dyDescent="0.3">
      <c r="A36" s="17" t="s">
        <v>264</v>
      </c>
      <c r="B36" s="18" t="s">
        <v>23</v>
      </c>
      <c r="C36" s="18" t="s">
        <v>258</v>
      </c>
      <c r="D36" s="22" t="s">
        <v>102</v>
      </c>
      <c r="E36" s="17" t="s">
        <v>58</v>
      </c>
      <c r="F36" s="18" t="s">
        <v>265</v>
      </c>
      <c r="G36" s="18" t="s">
        <v>266</v>
      </c>
      <c r="H36" s="20" t="s">
        <v>267</v>
      </c>
      <c r="I36" s="17">
        <v>404</v>
      </c>
      <c r="J36" s="20" t="s">
        <v>268</v>
      </c>
      <c r="K36" s="18" t="s">
        <v>269</v>
      </c>
      <c r="L36" s="16" t="s">
        <v>55</v>
      </c>
      <c r="M36" s="18" t="s">
        <v>205</v>
      </c>
    </row>
    <row r="37" spans="1:13" ht="48" customHeight="1" x14ac:dyDescent="0.3">
      <c r="A37" s="12" t="s">
        <v>270</v>
      </c>
      <c r="B37" s="13" t="s">
        <v>23</v>
      </c>
      <c r="C37" s="13" t="s">
        <v>271</v>
      </c>
      <c r="D37" s="24" t="s">
        <v>272</v>
      </c>
      <c r="E37" s="12" t="s">
        <v>49</v>
      </c>
      <c r="F37" s="13" t="s">
        <v>273</v>
      </c>
      <c r="G37" s="13" t="s">
        <v>274</v>
      </c>
      <c r="H37" s="15" t="s">
        <v>275</v>
      </c>
      <c r="I37" s="12">
        <v>200</v>
      </c>
      <c r="J37" s="15" t="s">
        <v>276</v>
      </c>
      <c r="K37" s="13" t="s">
        <v>277</v>
      </c>
      <c r="L37" s="16" t="s">
        <v>55</v>
      </c>
      <c r="M37" s="13" t="s">
        <v>56</v>
      </c>
    </row>
    <row r="38" spans="1:13" ht="48" customHeight="1" x14ac:dyDescent="0.3">
      <c r="A38" s="17" t="s">
        <v>278</v>
      </c>
      <c r="B38" s="18" t="s">
        <v>23</v>
      </c>
      <c r="C38" s="18" t="s">
        <v>279</v>
      </c>
      <c r="D38" s="26" t="s">
        <v>272</v>
      </c>
      <c r="E38" s="17" t="s">
        <v>280</v>
      </c>
      <c r="F38" s="18" t="s">
        <v>281</v>
      </c>
      <c r="G38" s="18" t="s">
        <v>282</v>
      </c>
      <c r="H38" s="20" t="s">
        <v>283</v>
      </c>
      <c r="I38" s="17">
        <v>400</v>
      </c>
      <c r="J38" s="20" t="s">
        <v>284</v>
      </c>
      <c r="K38" s="18" t="s">
        <v>285</v>
      </c>
      <c r="L38" s="21" t="s">
        <v>79</v>
      </c>
      <c r="M38" s="18" t="s">
        <v>286</v>
      </c>
    </row>
    <row r="39" spans="1:13" ht="48" customHeight="1" x14ac:dyDescent="0.3">
      <c r="A39" s="12" t="s">
        <v>287</v>
      </c>
      <c r="B39" s="13" t="s">
        <v>23</v>
      </c>
      <c r="C39" s="13" t="s">
        <v>258</v>
      </c>
      <c r="D39" s="24" t="s">
        <v>151</v>
      </c>
      <c r="E39" s="12" t="s">
        <v>49</v>
      </c>
      <c r="F39" s="13" t="s">
        <v>288</v>
      </c>
      <c r="G39" s="13" t="s">
        <v>289</v>
      </c>
      <c r="H39" s="15" t="s">
        <v>290</v>
      </c>
      <c r="I39" s="12">
        <v>200</v>
      </c>
      <c r="J39" s="15" t="s">
        <v>291</v>
      </c>
      <c r="K39" s="13" t="s">
        <v>292</v>
      </c>
      <c r="L39" s="16" t="s">
        <v>55</v>
      </c>
      <c r="M39" s="13" t="s">
        <v>56</v>
      </c>
    </row>
    <row r="40" spans="1:13" ht="48" customHeight="1" x14ac:dyDescent="0.3">
      <c r="A40" s="17" t="s">
        <v>293</v>
      </c>
      <c r="B40" s="18" t="s">
        <v>23</v>
      </c>
      <c r="C40" s="18" t="s">
        <v>258</v>
      </c>
      <c r="D40" s="25" t="s">
        <v>159</v>
      </c>
      <c r="E40" s="17" t="s">
        <v>49</v>
      </c>
      <c r="F40" s="18" t="s">
        <v>294</v>
      </c>
      <c r="G40" s="18" t="s">
        <v>295</v>
      </c>
      <c r="H40" s="20" t="s">
        <v>261</v>
      </c>
      <c r="I40" s="17">
        <v>200</v>
      </c>
      <c r="J40" s="20" t="s">
        <v>296</v>
      </c>
      <c r="K40" s="18" t="s">
        <v>297</v>
      </c>
      <c r="L40" s="16" t="s">
        <v>55</v>
      </c>
      <c r="M40" s="18" t="s">
        <v>56</v>
      </c>
    </row>
  </sheetData>
  <mergeCells count="2">
    <mergeCell ref="A2:M2"/>
    <mergeCell ref="A1:M1"/>
  </mergeCells>
  <dataValidations count="1">
    <dataValidation type="list" allowBlank="1" sqref="L5:L40" xr:uid="{00000000-0002-0000-0100-000000000000}">
      <formula1>"Pass,Fail,Untested,Blocked"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abSelected="1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15" customWidth="1"/>
    <col min="3" max="3" width="30" customWidth="1"/>
    <col min="4" max="4" width="12" customWidth="1"/>
    <col min="5" max="5" width="45" customWidth="1"/>
    <col min="6" max="7" width="22" customWidth="1"/>
  </cols>
  <sheetData>
    <row r="1" spans="1:7" ht="28.05" customHeight="1" x14ac:dyDescent="0.3">
      <c r="A1" s="31" t="s">
        <v>298</v>
      </c>
      <c r="B1" s="30"/>
      <c r="C1" s="30"/>
      <c r="D1" s="30"/>
      <c r="E1" s="30"/>
      <c r="F1" s="30"/>
      <c r="G1" s="30"/>
    </row>
    <row r="2" spans="1:7" ht="19.95" customHeight="1" x14ac:dyDescent="0.4">
      <c r="A2" s="32" t="s">
        <v>299</v>
      </c>
      <c r="B2" s="30"/>
      <c r="C2" s="30"/>
      <c r="D2" s="30"/>
      <c r="E2" s="30"/>
      <c r="F2" s="30"/>
      <c r="G2" s="30"/>
    </row>
    <row r="4" spans="1:7" ht="25.05" customHeight="1" x14ac:dyDescent="0.3">
      <c r="A4" s="28" t="s">
        <v>300</v>
      </c>
      <c r="B4" s="28" t="s">
        <v>14</v>
      </c>
      <c r="C4" s="28" t="s">
        <v>301</v>
      </c>
      <c r="D4" s="28" t="s">
        <v>302</v>
      </c>
      <c r="E4" s="28" t="s">
        <v>303</v>
      </c>
      <c r="F4" s="28" t="s">
        <v>304</v>
      </c>
      <c r="G4" s="28" t="s">
        <v>305</v>
      </c>
    </row>
    <row r="5" spans="1:7" ht="24" customHeight="1" x14ac:dyDescent="0.3">
      <c r="A5" s="12">
        <v>1</v>
      </c>
      <c r="B5" s="13" t="s">
        <v>306</v>
      </c>
      <c r="C5" s="13" t="s">
        <v>47</v>
      </c>
      <c r="D5" s="12" t="s">
        <v>48</v>
      </c>
      <c r="E5" s="13" t="s">
        <v>307</v>
      </c>
      <c r="F5" s="12" t="s">
        <v>308</v>
      </c>
      <c r="G5" s="12">
        <v>4</v>
      </c>
    </row>
    <row r="6" spans="1:7" ht="24" customHeight="1" x14ac:dyDescent="0.3">
      <c r="A6" s="17">
        <v>2</v>
      </c>
      <c r="B6" s="18" t="s">
        <v>306</v>
      </c>
      <c r="C6" s="18" t="s">
        <v>82</v>
      </c>
      <c r="D6" s="17" t="s">
        <v>48</v>
      </c>
      <c r="E6" s="18" t="s">
        <v>309</v>
      </c>
      <c r="F6" s="17" t="s">
        <v>308</v>
      </c>
      <c r="G6" s="17">
        <v>3</v>
      </c>
    </row>
    <row r="7" spans="1:7" ht="24" customHeight="1" x14ac:dyDescent="0.3">
      <c r="A7" s="12">
        <v>3</v>
      </c>
      <c r="B7" s="13" t="s">
        <v>306</v>
      </c>
      <c r="C7" s="13" t="s">
        <v>101</v>
      </c>
      <c r="D7" s="12" t="s">
        <v>102</v>
      </c>
      <c r="E7" s="13" t="s">
        <v>310</v>
      </c>
      <c r="F7" s="12" t="s">
        <v>311</v>
      </c>
      <c r="G7" s="12">
        <v>3</v>
      </c>
    </row>
    <row r="8" spans="1:7" ht="24" customHeight="1" x14ac:dyDescent="0.3">
      <c r="A8" s="17">
        <v>4</v>
      </c>
      <c r="B8" s="18" t="s">
        <v>19</v>
      </c>
      <c r="C8" s="18" t="s">
        <v>123</v>
      </c>
      <c r="D8" s="17" t="s">
        <v>102</v>
      </c>
      <c r="E8" s="18" t="s">
        <v>312</v>
      </c>
      <c r="F8" s="17" t="s">
        <v>313</v>
      </c>
      <c r="G8" s="17">
        <v>2</v>
      </c>
    </row>
    <row r="9" spans="1:7" ht="24" customHeight="1" x14ac:dyDescent="0.3">
      <c r="A9" s="12">
        <v>5</v>
      </c>
      <c r="B9" s="13" t="s">
        <v>19</v>
      </c>
      <c r="C9" s="13" t="s">
        <v>314</v>
      </c>
      <c r="D9" s="12" t="s">
        <v>102</v>
      </c>
      <c r="E9" s="13" t="s">
        <v>315</v>
      </c>
      <c r="F9" s="12" t="s">
        <v>311</v>
      </c>
      <c r="G9" s="12">
        <v>2</v>
      </c>
    </row>
    <row r="10" spans="1:7" ht="24" customHeight="1" x14ac:dyDescent="0.3">
      <c r="A10" s="17">
        <v>6</v>
      </c>
      <c r="B10" s="18" t="s">
        <v>19</v>
      </c>
      <c r="C10" s="18" t="s">
        <v>314</v>
      </c>
      <c r="D10" s="17" t="s">
        <v>151</v>
      </c>
      <c r="E10" s="18" t="s">
        <v>316</v>
      </c>
      <c r="F10" s="17" t="s">
        <v>311</v>
      </c>
      <c r="G10" s="17">
        <v>1</v>
      </c>
    </row>
    <row r="11" spans="1:7" ht="24" customHeight="1" x14ac:dyDescent="0.3">
      <c r="A11" s="12">
        <v>7</v>
      </c>
      <c r="B11" s="13" t="s">
        <v>19</v>
      </c>
      <c r="C11" s="13" t="s">
        <v>314</v>
      </c>
      <c r="D11" s="12" t="s">
        <v>159</v>
      </c>
      <c r="E11" s="13" t="s">
        <v>317</v>
      </c>
      <c r="F11" s="12" t="s">
        <v>318</v>
      </c>
      <c r="G11" s="12">
        <v>1</v>
      </c>
    </row>
    <row r="12" spans="1:7" ht="24" customHeight="1" x14ac:dyDescent="0.3">
      <c r="A12" s="17">
        <v>8</v>
      </c>
      <c r="B12" s="18" t="s">
        <v>21</v>
      </c>
      <c r="C12" s="18" t="s">
        <v>166</v>
      </c>
      <c r="D12" s="17" t="s">
        <v>48</v>
      </c>
      <c r="E12" s="18" t="s">
        <v>319</v>
      </c>
      <c r="F12" s="17" t="s">
        <v>311</v>
      </c>
      <c r="G12" s="17">
        <v>3</v>
      </c>
    </row>
    <row r="13" spans="1:7" ht="24" customHeight="1" x14ac:dyDescent="0.3">
      <c r="A13" s="12">
        <v>9</v>
      </c>
      <c r="B13" s="13" t="s">
        <v>21</v>
      </c>
      <c r="C13" s="13" t="s">
        <v>166</v>
      </c>
      <c r="D13" s="12" t="s">
        <v>102</v>
      </c>
      <c r="E13" s="13" t="s">
        <v>320</v>
      </c>
      <c r="F13" s="12" t="s">
        <v>311</v>
      </c>
      <c r="G13" s="12">
        <v>1</v>
      </c>
    </row>
    <row r="14" spans="1:7" ht="24" customHeight="1" x14ac:dyDescent="0.3">
      <c r="A14" s="17">
        <v>10</v>
      </c>
      <c r="B14" s="18" t="s">
        <v>21</v>
      </c>
      <c r="C14" s="18" t="s">
        <v>321</v>
      </c>
      <c r="D14" s="17" t="s">
        <v>102</v>
      </c>
      <c r="E14" s="18" t="s">
        <v>322</v>
      </c>
      <c r="F14" s="17" t="s">
        <v>311</v>
      </c>
      <c r="G14" s="17">
        <v>2</v>
      </c>
    </row>
    <row r="15" spans="1:7" ht="24" customHeight="1" x14ac:dyDescent="0.3">
      <c r="A15" s="12">
        <v>11</v>
      </c>
      <c r="B15" s="13" t="s">
        <v>21</v>
      </c>
      <c r="C15" s="13" t="s">
        <v>321</v>
      </c>
      <c r="D15" s="12" t="s">
        <v>151</v>
      </c>
      <c r="E15" s="13" t="s">
        <v>323</v>
      </c>
      <c r="F15" s="12" t="s">
        <v>324</v>
      </c>
      <c r="G15" s="12">
        <v>2</v>
      </c>
    </row>
    <row r="16" spans="1:7" ht="24" customHeight="1" x14ac:dyDescent="0.3">
      <c r="A16" s="17">
        <v>12</v>
      </c>
      <c r="B16" s="18" t="s">
        <v>21</v>
      </c>
      <c r="C16" s="18" t="s">
        <v>321</v>
      </c>
      <c r="D16" s="17" t="s">
        <v>159</v>
      </c>
      <c r="E16" s="18" t="s">
        <v>325</v>
      </c>
      <c r="F16" s="17" t="s">
        <v>324</v>
      </c>
      <c r="G16" s="17">
        <v>1</v>
      </c>
    </row>
    <row r="17" spans="1:7" ht="24" customHeight="1" x14ac:dyDescent="0.3">
      <c r="A17" s="12">
        <v>13</v>
      </c>
      <c r="B17" s="13" t="s">
        <v>21</v>
      </c>
      <c r="C17" s="13" t="s">
        <v>326</v>
      </c>
      <c r="D17" s="12" t="s">
        <v>48</v>
      </c>
      <c r="E17" s="13" t="s">
        <v>227</v>
      </c>
      <c r="F17" s="12" t="s">
        <v>324</v>
      </c>
      <c r="G17" s="12">
        <v>1</v>
      </c>
    </row>
    <row r="18" spans="1:7" ht="24" customHeight="1" x14ac:dyDescent="0.3">
      <c r="A18" s="17">
        <v>14</v>
      </c>
      <c r="B18" s="18" t="s">
        <v>23</v>
      </c>
      <c r="C18" s="18" t="s">
        <v>233</v>
      </c>
      <c r="D18" s="17" t="s">
        <v>48</v>
      </c>
      <c r="E18" s="18" t="s">
        <v>327</v>
      </c>
      <c r="F18" s="17" t="s">
        <v>311</v>
      </c>
      <c r="G18" s="17">
        <v>3</v>
      </c>
    </row>
    <row r="19" spans="1:7" ht="24" customHeight="1" x14ac:dyDescent="0.3">
      <c r="A19" s="12">
        <v>15</v>
      </c>
      <c r="B19" s="13" t="s">
        <v>23</v>
      </c>
      <c r="C19" s="13" t="s">
        <v>233</v>
      </c>
      <c r="D19" s="12" t="s">
        <v>102</v>
      </c>
      <c r="E19" s="13" t="s">
        <v>328</v>
      </c>
      <c r="F19" s="12" t="s">
        <v>311</v>
      </c>
      <c r="G19" s="12">
        <v>1</v>
      </c>
    </row>
    <row r="20" spans="1:7" ht="24" customHeight="1" x14ac:dyDescent="0.3">
      <c r="A20" s="17">
        <v>16</v>
      </c>
      <c r="B20" s="18" t="s">
        <v>23</v>
      </c>
      <c r="C20" s="18" t="s">
        <v>329</v>
      </c>
      <c r="D20" s="17" t="s">
        <v>102</v>
      </c>
      <c r="E20" s="18" t="s">
        <v>330</v>
      </c>
      <c r="F20" s="17" t="s">
        <v>311</v>
      </c>
      <c r="G20" s="17">
        <v>2</v>
      </c>
    </row>
    <row r="21" spans="1:7" ht="24" customHeight="1" x14ac:dyDescent="0.3">
      <c r="A21" s="12">
        <v>17</v>
      </c>
      <c r="B21" s="13" t="s">
        <v>23</v>
      </c>
      <c r="C21" s="13" t="s">
        <v>331</v>
      </c>
      <c r="D21" s="12" t="s">
        <v>272</v>
      </c>
      <c r="E21" s="13" t="s">
        <v>332</v>
      </c>
      <c r="F21" s="12" t="s">
        <v>333</v>
      </c>
      <c r="G21" s="12">
        <v>1</v>
      </c>
    </row>
    <row r="22" spans="1:7" ht="24" customHeight="1" x14ac:dyDescent="0.3">
      <c r="A22" s="17">
        <v>18</v>
      </c>
      <c r="B22" s="18" t="s">
        <v>23</v>
      </c>
      <c r="C22" s="18" t="s">
        <v>334</v>
      </c>
      <c r="D22" s="17" t="s">
        <v>272</v>
      </c>
      <c r="E22" s="18" t="s">
        <v>335</v>
      </c>
      <c r="F22" s="17" t="s">
        <v>336</v>
      </c>
      <c r="G22" s="17">
        <v>1</v>
      </c>
    </row>
    <row r="23" spans="1:7" ht="24" customHeight="1" x14ac:dyDescent="0.3">
      <c r="A23" s="12">
        <v>19</v>
      </c>
      <c r="B23" s="13" t="s">
        <v>23</v>
      </c>
      <c r="C23" s="13" t="s">
        <v>329</v>
      </c>
      <c r="D23" s="12" t="s">
        <v>151</v>
      </c>
      <c r="E23" s="13" t="s">
        <v>337</v>
      </c>
      <c r="F23" s="12" t="s">
        <v>311</v>
      </c>
      <c r="G23" s="12">
        <v>1</v>
      </c>
    </row>
    <row r="24" spans="1:7" ht="24" customHeight="1" x14ac:dyDescent="0.3">
      <c r="A24" s="17">
        <v>20</v>
      </c>
      <c r="B24" s="18" t="s">
        <v>23</v>
      </c>
      <c r="C24" s="18" t="s">
        <v>329</v>
      </c>
      <c r="D24" s="17" t="s">
        <v>159</v>
      </c>
      <c r="E24" s="18" t="s">
        <v>338</v>
      </c>
      <c r="F24" s="17" t="s">
        <v>336</v>
      </c>
      <c r="G24" s="17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 &amp; Thống kê</vt:lpstr>
      <vt:lpstr>Checklist Test API</vt:lpstr>
      <vt:lpstr>Danh mục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MNz</cp:lastModifiedBy>
  <dcterms:created xsi:type="dcterms:W3CDTF">2026-08-26T03:14:14Z</dcterms:created>
  <dcterms:modified xsi:type="dcterms:W3CDTF">2026-08-26T03:22:05Z</dcterms:modified>
</cp:coreProperties>
</file>