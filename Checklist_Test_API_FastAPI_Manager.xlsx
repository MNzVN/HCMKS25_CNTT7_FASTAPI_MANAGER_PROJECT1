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 quan &amp; Thống kê" sheetId="1" state="visible" r:id="rId1"/>
    <sheet xmlns:r="http://schemas.openxmlformats.org/officeDocument/2006/relationships" name="Checklist Test API" sheetId="2" state="visible" r:id="rId2"/>
    <sheet xmlns:r="http://schemas.openxmlformats.org/officeDocument/2006/relationships" name="Danh mục A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1"/>
    </font>
    <font>
      <name val="Segoe UI"/>
      <b val="1"/>
      <color rgb="00FFFFFF"/>
      <sz val="11"/>
    </font>
    <font>
      <name val="Segoe UI"/>
      <color rgb="00334155"/>
      <sz val="10"/>
    </font>
    <font>
      <name val="Segoe UI"/>
      <b val="1"/>
      <color rgb="0016A34A"/>
      <sz val="10"/>
    </font>
    <font>
      <name val="Consolas"/>
      <color rgb="000F172A"/>
      <sz val="9"/>
    </font>
    <font>
      <name val="Segoe UI"/>
      <b val="1"/>
      <color rgb="0015803D"/>
      <sz val="10"/>
    </font>
    <font>
      <name val="Segoe UI"/>
      <b val="1"/>
      <color rgb="002563EB"/>
      <sz val="10"/>
    </font>
    <font>
      <name val="Segoe UI"/>
      <b val="1"/>
      <color rgb="00D97706"/>
      <sz val="10"/>
    </font>
    <font>
      <name val="Segoe UI"/>
      <b val="1"/>
      <color rgb="00DC2626"/>
      <sz val="10"/>
    </font>
    <font>
      <name val="Segoe UI"/>
      <b val="1"/>
      <color rgb="001E293B"/>
      <sz val="10"/>
    </font>
    <font>
      <name val="Segoe UI"/>
      <b val="1"/>
      <color rgb="000F172A"/>
      <sz val="12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3B82F6"/>
        <bgColor rgb="003B82F6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1" fillId="6" borderId="2" pivotButton="0" quotePrefix="0" xfId="0"/>
    <xf numFmtId="0" fontId="4" fillId="0" borderId="2" pivotButton="0" quotePrefix="0" xfId="0"/>
    <xf numFmtId="0" fontId="12" fillId="0" borderId="0" pivotButton="0" quotePrefix="0" xfId="0"/>
    <xf numFmtId="0" fontId="3" fillId="2" borderId="1" pivotButton="0" quotePrefix="0" xfId="0"/>
    <xf numFmtId="0" fontId="3" fillId="5" borderId="1" pivotButton="0" quotePrefix="0" xfId="0"/>
    <xf numFmtId="0" fontId="11" fillId="0" borderId="2" pivotButton="0" quotePrefix="0" xfId="0"/>
    <xf numFmtId="0" fontId="11" fillId="0" borderId="2" applyAlignment="1" pivotButton="0" quotePrefix="0" xfId="0">
      <alignment horizontal="center" vertical="center" wrapText="1"/>
    </xf>
    <xf numFmtId="164" fontId="11" fillId="0" borderId="2" applyAlignment="1" pivotButton="0" quotePrefix="0" xfId="0">
      <alignment horizontal="center" vertical="center" wrapText="1"/>
    </xf>
    <xf numFmtId="0" fontId="4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left" vertical="center" wrapText="1"/>
    </xf>
    <xf numFmtId="0" fontId="7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5" fillId="4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left" vertical="center" wrapText="1"/>
    </xf>
    <xf numFmtId="0" fontId="7" fillId="4" borderId="2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9" fillId="4" borderId="2" applyAlignment="1" pivotButton="0" quotePrefix="0" xfId="0">
      <alignment horizontal="center" vertical="center" wrapText="1"/>
    </xf>
    <xf numFmtId="0" fontId="10" fillId="3" borderId="2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Phân bổ Test Cases theo Module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'Tổng quan &amp; Thống kê'!E11</f>
            </strRef>
          </tx>
          <spPr>
            <a:ln xmlns:a="http://schemas.openxmlformats.org/drawingml/2006/main">
              <a:prstDash val="solid"/>
            </a:ln>
          </spPr>
          <cat>
            <numRef>
              <f>'Tổng quan &amp; Thống kê'!$D$12:$D$15</f>
            </numRef>
          </cat>
          <val>
            <numRef>
              <f>'Tổng quan &amp; Thống kê'!$E$12:$E$15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Số lượng test cases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3</row>
      <rowOff>0</rowOff>
    </from>
    <ext cx="540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32" customWidth="1" min="1" max="1"/>
    <col width="45" customWidth="1" min="2" max="2"/>
    <col width="4" customWidth="1" min="3" max="3"/>
    <col width="28" customWidth="1" min="4" max="4"/>
    <col width="22" customWidth="1" min="5" max="5"/>
    <col width="4" customWidth="1" min="6" max="6"/>
  </cols>
  <sheetData>
    <row r="1" ht="32" customHeight="1">
      <c r="A1" s="1" t="inlineStr">
        <is>
          <t>BÁO CÁO TỔNG QUAN KIỂM THỬ API - CHECKLIST TEST SUITE</t>
        </is>
      </c>
    </row>
    <row r="2" ht="20" customHeight="1">
      <c r="A2" s="2" t="inlineStr">
        <is>
          <t>Dự án: FastAPI Project Management System | Thực hiện kiểm thử thủ công qua Swagger / Postman</t>
        </is>
      </c>
    </row>
    <row r="4">
      <c r="A4" s="3" t="inlineStr">
        <is>
          <t>Tên dự án:</t>
        </is>
      </c>
      <c r="B4" s="4" t="inlineStr">
        <is>
          <t>HCMKS25_CNTT7_FASTAPI_MANAGER_PROJECT1</t>
        </is>
      </c>
    </row>
    <row r="5">
      <c r="A5" s="3" t="inlineStr">
        <is>
          <t>Framework / Tech stack:</t>
        </is>
      </c>
      <c r="B5" s="4" t="inlineStr">
        <is>
          <t>FastAPI, Pydantic, SQLAlchemy, JWT Authentication</t>
        </is>
      </c>
    </row>
    <row r="6">
      <c r="A6" s="3" t="inlineStr">
        <is>
          <t>Môi trường test:</t>
        </is>
      </c>
      <c r="B6" s="4" t="inlineStr">
        <is>
          <t>Localhost (http://127.0.0.1:8000/docs - Swagger UI &amp; Postman)</t>
        </is>
      </c>
    </row>
    <row r="7">
      <c r="A7" s="3" t="inlineStr">
        <is>
          <t>Phạm vi kiểm thử:</t>
        </is>
      </c>
      <c r="B7" s="4" t="inlineStr">
        <is>
          <t>Kiểm thử luồng chính (Positive), các case lỗi logic (Negative), xác thực (Auth), ràng buộc kiểu (Validation)</t>
        </is>
      </c>
    </row>
    <row r="10">
      <c r="A10" s="5" t="inlineStr">
        <is>
          <t>CHỈ SỐ TỔNG KẾT TEST CASES</t>
        </is>
      </c>
      <c r="D10" s="5" t="inlineStr">
        <is>
          <t>THỐNG KÊ THEO MODULE</t>
        </is>
      </c>
    </row>
    <row r="11">
      <c r="A11" s="6" t="inlineStr">
        <is>
          <t>Chỉ số (Metric)</t>
        </is>
      </c>
      <c r="B11" s="6" t="inlineStr">
        <is>
          <t>Số lượng / Tỷ lệ</t>
        </is>
      </c>
      <c r="D11" s="7" t="inlineStr">
        <is>
          <t>Module</t>
        </is>
      </c>
      <c r="E11" s="7" t="inlineStr">
        <is>
          <t>Số lượng Test Cases</t>
        </is>
      </c>
    </row>
    <row r="12">
      <c r="A12" s="8" t="inlineStr">
        <is>
          <t>Tổng số API Endpoints</t>
        </is>
      </c>
      <c r="B12" s="9">
        <f>COUNTA('Danh mục API'!C5:C24)</f>
        <v/>
      </c>
      <c r="D12" s="4" t="inlineStr">
        <is>
          <t>Authentication</t>
        </is>
      </c>
      <c r="E12" s="9">
        <f>COUNTIF('Checklist Test API'!B5:B34, "Authentication")</f>
        <v/>
      </c>
    </row>
    <row r="13">
      <c r="A13" s="8" t="inlineStr">
        <is>
          <t>Tổng số Test Cases đã lập</t>
        </is>
      </c>
      <c r="B13" s="9">
        <f>COUNTA('Checklist Test API'!A5:A34)</f>
        <v/>
      </c>
      <c r="D13" s="4" t="inlineStr">
        <is>
          <t>Users</t>
        </is>
      </c>
      <c r="E13" s="9">
        <f>COUNTIF('Checklist Test API'!B5:B34, "Users")</f>
        <v/>
      </c>
    </row>
    <row r="14">
      <c r="A14" s="8" t="inlineStr">
        <is>
          <t>Số Test Case ĐẠT (Pass)</t>
        </is>
      </c>
      <c r="B14" s="9">
        <f>COUNTIF('Checklist Test API'!L5:L34, "Pass")</f>
        <v/>
      </c>
      <c r="D14" s="4" t="inlineStr">
        <is>
          <t>Projects</t>
        </is>
      </c>
      <c r="E14" s="9">
        <f>COUNTIF('Checklist Test API'!B5:B34, "Projects")</f>
        <v/>
      </c>
    </row>
    <row r="15">
      <c r="A15" s="8" t="inlineStr">
        <is>
          <t>Số Test Case THẤT BẠI (Fail)</t>
        </is>
      </c>
      <c r="B15" s="9">
        <f>COUNTIF('Checklist Test API'!L5:L34, "Fail")</f>
        <v/>
      </c>
      <c r="D15" s="4" t="inlineStr">
        <is>
          <t>Tasks</t>
        </is>
      </c>
      <c r="E15" s="9">
        <f>COUNTIF('Checklist Test API'!B5:B34, "Tasks")</f>
        <v/>
      </c>
    </row>
    <row r="16">
      <c r="A16" s="8" t="inlineStr">
        <is>
          <t>Số Test Case CHƯA TEST (Untested)</t>
        </is>
      </c>
      <c r="B16" s="9">
        <f>COUNTIF('Checklist Test API'!L5:L34, "Untested")</f>
        <v/>
      </c>
    </row>
    <row r="17">
      <c r="A17" s="8" t="inlineStr">
        <is>
          <t>Tỷ lệ Hoàn thành (Pass Rate)</t>
        </is>
      </c>
      <c r="B17" s="10">
        <f>B13/B12</f>
        <v/>
      </c>
    </row>
    <row r="18">
      <c r="D18" s="5" t="inlineStr">
        <is>
          <t>THỐNG KÊ THEO LOẠI KIỂM THỬ</t>
        </is>
      </c>
    </row>
    <row r="19">
      <c r="D19" s="7" t="inlineStr">
        <is>
          <t>Loại kiểm thử</t>
        </is>
      </c>
      <c r="E19" s="7" t="inlineStr">
        <is>
          <t>Số lượng</t>
        </is>
      </c>
    </row>
    <row r="20">
      <c r="A20" s="5" t="inlineStr">
        <is>
          <t>HƯỚNG DẪN THỰC THI KIỂM THỬ THỦ CÔNG (SWAGGER / POSTMAN)</t>
        </is>
      </c>
      <c r="D20" s="4" t="inlineStr">
        <is>
          <t>Positive (Luồng chuẩn)</t>
        </is>
      </c>
      <c r="E20" s="9">
        <f>COUNTIF('Checklist Test API'!E5:E34, "Positive")</f>
        <v/>
      </c>
    </row>
    <row r="21">
      <c r="A21" s="11" t="inlineStr">
        <is>
          <t>1. Khởi động server FastAPI: uvicorn app.main:app --reload</t>
        </is>
      </c>
      <c r="D21" s="4" t="inlineStr">
        <is>
          <t>Negative / Validation / Auth (Luồng lỗi)</t>
        </is>
      </c>
      <c r="E21" s="9">
        <f>COUNTIF('Checklist Test API'!E5:E34, "Negative*") + COUNTIF('Checklist Test API'!E5:E34, "*Negative*")</f>
        <v/>
      </c>
    </row>
    <row r="22">
      <c r="A22" s="11" t="inlineStr">
        <is>
          <t>2. Truy cập giao diện Swagger UI tại http://127.0.0.1:8000/docs</t>
        </is>
      </c>
    </row>
    <row r="23">
      <c r="A23" s="11" t="inlineStr">
        <is>
          <t>3. Chạy các test case Auth: Đăng ký (Register) -&gt; Đăng nhập (Login) -&gt; Lấy Token</t>
        </is>
      </c>
    </row>
    <row r="24">
      <c r="A24" s="11" t="inlineStr">
        <is>
          <t>4. Bấm nút 'Authorize' (ổ khóa) trên góc phải Swagger, nhập Bearer Token để test các API yêu cầu xác thực</t>
        </is>
      </c>
    </row>
    <row r="25">
      <c r="A25" s="11" t="inlineStr">
        <is>
          <t>5. Thực hiện tuần tự các kịch bản trong sheet 'Checklist Test API', đối chiếu mã phản hồi HTTP và JSON trả về</t>
        </is>
      </c>
    </row>
    <row r="26">
      <c r="A26" s="11" t="inlineStr">
        <is>
          <t>6. Cập nhật cột 'Kết quả thực tế' và chọn trạng thái 'Pass' / 'Fail' tại sheet Checklist.</t>
        </is>
      </c>
    </row>
  </sheetData>
  <mergeCells count="6">
    <mergeCell ref="A25:C25"/>
    <mergeCell ref="A23:C23"/>
    <mergeCell ref="A22:C22"/>
    <mergeCell ref="A21:C21"/>
    <mergeCell ref="A26:C26"/>
    <mergeCell ref="A24:C2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8" customWidth="1" min="2" max="2"/>
    <col width="26" customWidth="1" min="3" max="3"/>
    <col width="14" customWidth="1" min="4" max="4"/>
    <col width="18" customWidth="1" min="5" max="5"/>
    <col width="35" customWidth="1" min="6" max="6"/>
    <col width="28" customWidth="1" min="7" max="7"/>
    <col width="38" customWidth="1" min="8" max="8"/>
    <col width="14" customWidth="1" min="9" max="9"/>
    <col width="38" customWidth="1" min="10" max="10"/>
    <col width="25" customWidth="1" min="11" max="11"/>
    <col width="15" customWidth="1" min="12" max="12"/>
    <col width="24" customWidth="1" min="13" max="13"/>
  </cols>
  <sheetData>
    <row r="1" ht="28" customHeight="1">
      <c r="A1" s="12" t="inlineStr">
        <is>
          <t>BẢNG CHECKLIST TEST CASES API - DỰ ÁN QUẢN LÝ DỰ ÁN (FASTAPI MANAGER PROJECT)</t>
        </is>
      </c>
    </row>
    <row r="2" ht="20" customHeight="1">
      <c r="A2" s="13" t="inlineStr">
        <is>
          <t>Dự án: HCMKS25_CNTT7_FASTAPI_MANAGER_PROJECT1 | Công cụ thực thi: Swagger UI / Postman</t>
        </is>
      </c>
    </row>
    <row r="4" ht="26" customHeight="1">
      <c r="A4" s="14" t="inlineStr">
        <is>
          <t>Mã Test Case</t>
        </is>
      </c>
      <c r="B4" s="14" t="inlineStr">
        <is>
          <t>Module / Chức năng</t>
        </is>
      </c>
      <c r="C4" s="14" t="inlineStr">
        <is>
          <t>API Endpoint</t>
        </is>
      </c>
      <c r="D4" s="14" t="inlineStr">
        <is>
          <t>HTTP Method</t>
        </is>
      </c>
      <c r="E4" s="14" t="inlineStr">
        <is>
          <t>Loại Test (Type)</t>
        </is>
      </c>
      <c r="F4" s="14" t="inlineStr">
        <is>
          <t>Mô tả kịch bản kiểm thử</t>
        </is>
      </c>
      <c r="G4" s="14" t="inlineStr">
        <is>
          <t>Điều kiện tiên quyết (Precondition)</t>
        </is>
      </c>
      <c r="H4" s="14" t="inlineStr">
        <is>
          <t>Dữ liệu đầu vào (Request Payload / Params)</t>
        </is>
      </c>
      <c r="I4" s="14" t="inlineStr">
        <is>
          <t>Mã HTTP kỳ vọng</t>
        </is>
      </c>
      <c r="J4" s="14" t="inlineStr">
        <is>
          <t>Kết quả phản hồi mong đợi (Expected Body)</t>
        </is>
      </c>
      <c r="K4" s="14" t="inlineStr">
        <is>
          <t>Kết quả thực tế (Actual Result)</t>
        </is>
      </c>
      <c r="L4" s="14" t="inlineStr">
        <is>
          <t>Trạng thái (Status)</t>
        </is>
      </c>
      <c r="M4" s="14" t="inlineStr">
        <is>
          <t>Ghi chú / Bug Log</t>
        </is>
      </c>
    </row>
    <row r="5" ht="42" customHeight="1">
      <c r="A5" s="15" t="inlineStr">
        <is>
          <t>TC_AUTH_01</t>
        </is>
      </c>
      <c r="B5" s="16" t="inlineStr">
        <is>
          <t>Authentication</t>
        </is>
      </c>
      <c r="C5" s="16" t="inlineStr">
        <is>
          <t>/api/v1/auth/register</t>
        </is>
      </c>
      <c r="D5" s="17" t="inlineStr">
        <is>
          <t>POST</t>
        </is>
      </c>
      <c r="E5" s="15" t="inlineStr">
        <is>
          <t>Positive</t>
        </is>
      </c>
      <c r="F5" s="16" t="inlineStr">
        <is>
          <t>Đăng ký tài khoản mới hợp lệ với đầy đủ thông tin</t>
        </is>
      </c>
      <c r="G5" s="16" t="inlineStr">
        <is>
          <t>Email chưa từng tồn tại trong hệ thống</t>
        </is>
      </c>
      <c r="H5" s="18" t="inlineStr">
        <is>
          <t>{
  "email": "user.test@example.com",
  "password": "Password123@",
  "full_name": "Nguyen Van A",
  "role": "MEMBER"
}</t>
        </is>
      </c>
      <c r="I5" s="15" t="n">
        <v>201</v>
      </c>
      <c r="J5" s="18" t="inlineStr">
        <is>
          <t>Trả về thông tin user mới tạo (id, email, full_name, role, is_active=true), không chứa trường password</t>
        </is>
      </c>
      <c r="K5" s="16" t="inlineStr"/>
      <c r="L5" s="19" t="inlineStr">
        <is>
          <t>Pass</t>
        </is>
      </c>
      <c r="M5" s="16" t="inlineStr">
        <is>
          <t>Đã test trên Swagger</t>
        </is>
      </c>
    </row>
    <row r="6" ht="42" customHeight="1">
      <c r="A6" s="20" t="inlineStr">
        <is>
          <t>TC_AUTH_02</t>
        </is>
      </c>
      <c r="B6" s="21" t="inlineStr">
        <is>
          <t>Authentication</t>
        </is>
      </c>
      <c r="C6" s="21" t="inlineStr">
        <is>
          <t>/api/v1/auth/register</t>
        </is>
      </c>
      <c r="D6" s="22" t="inlineStr">
        <is>
          <t>POST</t>
        </is>
      </c>
      <c r="E6" s="20" t="inlineStr">
        <is>
          <t>Negative</t>
        </is>
      </c>
      <c r="F6" s="21" t="inlineStr">
        <is>
          <t>Đăng ký thất bại khi email đã tồn tại</t>
        </is>
      </c>
      <c r="G6" s="21" t="inlineStr">
        <is>
          <t>Đã có tài khoản user.test@example.com trong DB</t>
        </is>
      </c>
      <c r="H6" s="23" t="inlineStr">
        <is>
          <t>{
  "email": "user.test@example.com",
  "password": "Password123@",
  "full_name": "Nguyen Van A"
}</t>
        </is>
      </c>
      <c r="I6" s="20" t="n">
        <v>400</v>
      </c>
      <c r="J6" s="23" t="inlineStr">
        <is>
          <t>{"detail": "Email already registered"}</t>
        </is>
      </c>
      <c r="K6" s="21" t="inlineStr"/>
      <c r="L6" s="24" t="inlineStr">
        <is>
          <t>Pass</t>
        </is>
      </c>
      <c r="M6" s="21" t="inlineStr"/>
    </row>
    <row r="7" ht="42" customHeight="1">
      <c r="A7" s="15" t="inlineStr">
        <is>
          <t>TC_AUTH_03</t>
        </is>
      </c>
      <c r="B7" s="16" t="inlineStr">
        <is>
          <t>Authentication</t>
        </is>
      </c>
      <c r="C7" s="16" t="inlineStr">
        <is>
          <t>/api/v1/auth/register</t>
        </is>
      </c>
      <c r="D7" s="17" t="inlineStr">
        <is>
          <t>POST</t>
        </is>
      </c>
      <c r="E7" s="15" t="inlineStr">
        <is>
          <t>Negative (Validation)</t>
        </is>
      </c>
      <c r="F7" s="16" t="inlineStr">
        <is>
          <t>Đăng ký thất bại khi định dạng email không hợp lệ</t>
        </is>
      </c>
      <c r="G7" s="16" t="inlineStr">
        <is>
          <t>Không</t>
        </is>
      </c>
      <c r="H7" s="18" t="inlineStr">
        <is>
          <t>{
  "email": "invalid-email-format",
  "password": "Password123@",
  "full_name": "Test"
}</t>
        </is>
      </c>
      <c r="I7" s="15" t="n">
        <v>422</v>
      </c>
      <c r="J7" s="18" t="inlineStr">
        <is>
          <t>{"detail": [{"loc": ["body", "email"], "msg": "value is not a valid email address", "type": "value_error"}]}</t>
        </is>
      </c>
      <c r="K7" s="16" t="inlineStr"/>
      <c r="L7" s="19" t="inlineStr">
        <is>
          <t>Pass</t>
        </is>
      </c>
      <c r="M7" s="16" t="inlineStr">
        <is>
          <t>FastAPI pydantic validation</t>
        </is>
      </c>
    </row>
    <row r="8" ht="42" customHeight="1">
      <c r="A8" s="20" t="inlineStr">
        <is>
          <t>TC_AUTH_04</t>
        </is>
      </c>
      <c r="B8" s="21" t="inlineStr">
        <is>
          <t>Authentication</t>
        </is>
      </c>
      <c r="C8" s="21" t="inlineStr">
        <is>
          <t>/api/v1/auth/register</t>
        </is>
      </c>
      <c r="D8" s="22" t="inlineStr">
        <is>
          <t>POST</t>
        </is>
      </c>
      <c r="E8" s="20" t="inlineStr">
        <is>
          <t>Negative (Validation)</t>
        </is>
      </c>
      <c r="F8" s="21" t="inlineStr">
        <is>
          <t>Đăng ký thất bại khi mật khẩu quá ngắn (&lt; 6 hoặc 8 ký tự)</t>
        </is>
      </c>
      <c r="G8" s="21" t="inlineStr">
        <is>
          <t>Không</t>
        </is>
      </c>
      <c r="H8" s="23" t="inlineStr">
        <is>
          <t>{
  "email": "shortpass@example.com",
  "password": "123",
  "full_name": "Test"
}</t>
        </is>
      </c>
      <c r="I8" s="20" t="n">
        <v>422</v>
      </c>
      <c r="J8" s="23" t="inlineStr">
        <is>
          <t>{"detail": [{"loc": ["body", "password"], "msg": "Password length must be at least 8 characters"}]}</t>
        </is>
      </c>
      <c r="K8" s="21" t="inlineStr"/>
      <c r="L8" s="24" t="inlineStr">
        <is>
          <t>Pass</t>
        </is>
      </c>
      <c r="M8" s="21" t="inlineStr"/>
    </row>
    <row r="9" ht="42" customHeight="1">
      <c r="A9" s="15" t="inlineStr">
        <is>
          <t>TC_AUTH_05</t>
        </is>
      </c>
      <c r="B9" s="16" t="inlineStr">
        <is>
          <t>Authentication</t>
        </is>
      </c>
      <c r="C9" s="16" t="inlineStr">
        <is>
          <t>/api/v1/auth/login</t>
        </is>
      </c>
      <c r="D9" s="17" t="inlineStr">
        <is>
          <t>POST</t>
        </is>
      </c>
      <c r="E9" s="15" t="inlineStr">
        <is>
          <t>Positive</t>
        </is>
      </c>
      <c r="F9" s="16" t="inlineStr">
        <is>
          <t>Đăng nhập thành công với thông tin chính xác</t>
        </is>
      </c>
      <c r="G9" s="16" t="inlineStr">
        <is>
          <t>User đã đăng ký và ở trạng thái active</t>
        </is>
      </c>
      <c r="H9" s="18" t="inlineStr">
        <is>
          <t>{
  "username": "user.test@example.com",
  "password": "Password123@"
} (hoặc OAuth2 Form-data)</t>
        </is>
      </c>
      <c r="I9" s="15" t="n">
        <v>200</v>
      </c>
      <c r="J9" s="18" t="inlineStr">
        <is>
          <t>Trả về access_token (JWT), token_type: "bearer"</t>
        </is>
      </c>
      <c r="K9" s="16" t="inlineStr"/>
      <c r="L9" s="19" t="inlineStr">
        <is>
          <t>Pass</t>
        </is>
      </c>
      <c r="M9" s="16" t="inlineStr">
        <is>
          <t>Lấy token gán vào Swagger Authorize</t>
        </is>
      </c>
    </row>
    <row r="10" ht="42" customHeight="1">
      <c r="A10" s="20" t="inlineStr">
        <is>
          <t>TC_AUTH_06</t>
        </is>
      </c>
      <c r="B10" s="21" t="inlineStr">
        <is>
          <t>Authentication</t>
        </is>
      </c>
      <c r="C10" s="21" t="inlineStr">
        <is>
          <t>/api/v1/auth/login</t>
        </is>
      </c>
      <c r="D10" s="22" t="inlineStr">
        <is>
          <t>POST</t>
        </is>
      </c>
      <c r="E10" s="20" t="inlineStr">
        <is>
          <t>Negative</t>
        </is>
      </c>
      <c r="F10" s="21" t="inlineStr">
        <is>
          <t>Đăng nhập thất bại khi nhập sai mật khẩu</t>
        </is>
      </c>
      <c r="G10" s="21" t="inlineStr">
        <is>
          <t>User đã tồn tại</t>
        </is>
      </c>
      <c r="H10" s="23" t="inlineStr">
        <is>
          <t>{
  "username": "user.test@example.com",
  "password": "WrongPassword"
}</t>
        </is>
      </c>
      <c r="I10" s="20" t="n">
        <v>401</v>
      </c>
      <c r="J10" s="23" t="inlineStr">
        <is>
          <t>{"detail": "Incorrect email or password"}</t>
        </is>
      </c>
      <c r="K10" s="21" t="inlineStr"/>
      <c r="L10" s="24" t="inlineStr">
        <is>
          <t>Pass</t>
        </is>
      </c>
      <c r="M10" s="21" t="inlineStr"/>
    </row>
    <row r="11" ht="42" customHeight="1">
      <c r="A11" s="15" t="inlineStr">
        <is>
          <t>TC_AUTH_07</t>
        </is>
      </c>
      <c r="B11" s="16" t="inlineStr">
        <is>
          <t>Authentication</t>
        </is>
      </c>
      <c r="C11" s="16" t="inlineStr">
        <is>
          <t>/api/v1/auth/login</t>
        </is>
      </c>
      <c r="D11" s="17" t="inlineStr">
        <is>
          <t>POST</t>
        </is>
      </c>
      <c r="E11" s="15" t="inlineStr">
        <is>
          <t>Negative</t>
        </is>
      </c>
      <c r="F11" s="16" t="inlineStr">
        <is>
          <t>Đăng nhập thất bại khi email không tồn tại</t>
        </is>
      </c>
      <c r="G11" s="16" t="inlineStr">
        <is>
          <t>Email chưa từng đăng ký</t>
        </is>
      </c>
      <c r="H11" s="18" t="inlineStr">
        <is>
          <t>{
  "username": "notfound@example.com",
  "password": "Password123@"
}</t>
        </is>
      </c>
      <c r="I11" s="15" t="n">
        <v>401</v>
      </c>
      <c r="J11" s="18" t="inlineStr">
        <is>
          <t>{"detail": "Incorrect email or password"}</t>
        </is>
      </c>
      <c r="K11" s="16" t="inlineStr"/>
      <c r="L11" s="19" t="inlineStr">
        <is>
          <t>Pass</t>
        </is>
      </c>
      <c r="M11" s="16" t="inlineStr"/>
    </row>
    <row r="12" ht="42" customHeight="1">
      <c r="A12" s="20" t="inlineStr">
        <is>
          <t>TC_AUTH_08</t>
        </is>
      </c>
      <c r="B12" s="21" t="inlineStr">
        <is>
          <t>Authentication</t>
        </is>
      </c>
      <c r="C12" s="21" t="inlineStr">
        <is>
          <t>/api/v1/auth/me</t>
        </is>
      </c>
      <c r="D12" s="25" t="inlineStr">
        <is>
          <t>GET</t>
        </is>
      </c>
      <c r="E12" s="20" t="inlineStr">
        <is>
          <t>Positive</t>
        </is>
      </c>
      <c r="F12" s="21" t="inlineStr">
        <is>
          <t>Lấy thông tin tài khoản hiện tại khi đã đính kèm Bearer Token</t>
        </is>
      </c>
      <c r="G12" s="21" t="inlineStr">
        <is>
          <t>Đã đăng nhập và có token hợp lệ</t>
        </is>
      </c>
      <c r="H12" s="23" t="inlineStr">
        <is>
          <t>Header: Authorization: Bearer &lt;valid_token&gt;</t>
        </is>
      </c>
      <c r="I12" s="20" t="n">
        <v>200</v>
      </c>
      <c r="J12" s="23" t="inlineStr">
        <is>
          <t>Thông tin chi tiết của user đang đăng nhập (id, email, full_name, role)</t>
        </is>
      </c>
      <c r="K12" s="21" t="inlineStr"/>
      <c r="L12" s="24" t="inlineStr">
        <is>
          <t>Pass</t>
        </is>
      </c>
      <c r="M12" s="21" t="inlineStr"/>
    </row>
    <row r="13" ht="42" customHeight="1">
      <c r="A13" s="15" t="inlineStr">
        <is>
          <t>TC_AUTH_09</t>
        </is>
      </c>
      <c r="B13" s="16" t="inlineStr">
        <is>
          <t>Authentication</t>
        </is>
      </c>
      <c r="C13" s="16" t="inlineStr">
        <is>
          <t>/api/v1/auth/me</t>
        </is>
      </c>
      <c r="D13" s="26" t="inlineStr">
        <is>
          <t>GET</t>
        </is>
      </c>
      <c r="E13" s="15" t="inlineStr">
        <is>
          <t>Negative (Auth)</t>
        </is>
      </c>
      <c r="F13" s="16" t="inlineStr">
        <is>
          <t>Truy cập thất bại khi không truyền Token</t>
        </is>
      </c>
      <c r="G13" s="16" t="inlineStr">
        <is>
          <t>Không</t>
        </is>
      </c>
      <c r="H13" s="18" t="inlineStr">
        <is>
          <t>Header: Không có Authorization</t>
        </is>
      </c>
      <c r="I13" s="15" t="n">
        <v>401</v>
      </c>
      <c r="J13" s="18" t="inlineStr">
        <is>
          <t>{"detail": "Not authenticated"}</t>
        </is>
      </c>
      <c r="K13" s="16" t="inlineStr"/>
      <c r="L13" s="19" t="inlineStr">
        <is>
          <t>Pass</t>
        </is>
      </c>
      <c r="M13" s="16" t="inlineStr"/>
    </row>
    <row r="14" ht="42" customHeight="1">
      <c r="A14" s="20" t="inlineStr">
        <is>
          <t>TC_AUTH_10</t>
        </is>
      </c>
      <c r="B14" s="21" t="inlineStr">
        <is>
          <t>Authentication</t>
        </is>
      </c>
      <c r="C14" s="21" t="inlineStr">
        <is>
          <t>/api/v1/auth/me</t>
        </is>
      </c>
      <c r="D14" s="25" t="inlineStr">
        <is>
          <t>GET</t>
        </is>
      </c>
      <c r="E14" s="20" t="inlineStr">
        <is>
          <t>Negative (Auth)</t>
        </is>
      </c>
      <c r="F14" s="21" t="inlineStr">
        <is>
          <t>Truy cập thất bại khi truyền Token hết hạn / sai định dạng</t>
        </is>
      </c>
      <c r="G14" s="21" t="inlineStr">
        <is>
          <t>Token giả mạo hoặc hết hạn</t>
        </is>
      </c>
      <c r="H14" s="23" t="inlineStr">
        <is>
          <t>Header: Authorization: Bearer invalid_jwt_token_xyz</t>
        </is>
      </c>
      <c r="I14" s="20" t="n">
        <v>401</v>
      </c>
      <c r="J14" s="23" t="inlineStr">
        <is>
          <t>{"detail": "Could not validate credentials"}</t>
        </is>
      </c>
      <c r="K14" s="21" t="inlineStr"/>
      <c r="L14" s="24" t="inlineStr">
        <is>
          <t>Pass</t>
        </is>
      </c>
      <c r="M14" s="21" t="inlineStr"/>
    </row>
    <row r="15" ht="42" customHeight="1">
      <c r="A15" s="15" t="inlineStr">
        <is>
          <t>TC_USER_01</t>
        </is>
      </c>
      <c r="B15" s="16" t="inlineStr">
        <is>
          <t>Users</t>
        </is>
      </c>
      <c r="C15" s="16" t="inlineStr">
        <is>
          <t>/api/v1/users/</t>
        </is>
      </c>
      <c r="D15" s="26" t="inlineStr">
        <is>
          <t>GET</t>
        </is>
      </c>
      <c r="E15" s="15" t="inlineStr">
        <is>
          <t>Positive</t>
        </is>
      </c>
      <c r="F15" s="16" t="inlineStr">
        <is>
          <t>Lấy danh sách người dùng phân trang (Admin/Manager)</t>
        </is>
      </c>
      <c r="G15" s="16" t="inlineStr">
        <is>
          <t>Đăng nhập bằng tài khoản có quyền ADMIN</t>
        </is>
      </c>
      <c r="H15" s="18" t="inlineStr">
        <is>
          <t>Params: skip=0, limit=10, search=""</t>
        </is>
      </c>
      <c r="I15" s="15" t="n">
        <v>200</v>
      </c>
      <c r="J15" s="18" t="inlineStr">
        <is>
          <t>Danh sách user dạng list kèm tổng số bản ghi (pagination)</t>
        </is>
      </c>
      <c r="K15" s="16" t="inlineStr"/>
      <c r="L15" s="19" t="inlineStr">
        <is>
          <t>Pass</t>
        </is>
      </c>
      <c r="M15" s="16" t="inlineStr"/>
    </row>
    <row r="16" ht="42" customHeight="1">
      <c r="A16" s="20" t="inlineStr">
        <is>
          <t>TC_USER_02</t>
        </is>
      </c>
      <c r="B16" s="21" t="inlineStr">
        <is>
          <t>Users</t>
        </is>
      </c>
      <c r="C16" s="21" t="inlineStr">
        <is>
          <t>/api/v1/users/</t>
        </is>
      </c>
      <c r="D16" s="25" t="inlineStr">
        <is>
          <t>GET</t>
        </is>
      </c>
      <c r="E16" s="20" t="inlineStr">
        <is>
          <t>Negative (Forbidden)</t>
        </is>
      </c>
      <c r="F16" s="21" t="inlineStr">
        <is>
          <t>Người dùng quyền MEMBER không được phép xem toàn bộ danh sách users</t>
        </is>
      </c>
      <c r="G16" s="21" t="inlineStr">
        <is>
          <t>Đăng nhập bằng user role MEMBER</t>
        </is>
      </c>
      <c r="H16" s="23" t="inlineStr">
        <is>
          <t>Header: Authorization: Bearer &lt;member_token&gt;</t>
        </is>
      </c>
      <c r="I16" s="20" t="n">
        <v>403</v>
      </c>
      <c r="J16" s="23" t="inlineStr">
        <is>
          <t>{"detail": "Not enough permissions"}</t>
        </is>
      </c>
      <c r="K16" s="21" t="inlineStr"/>
      <c r="L16" s="24" t="inlineStr">
        <is>
          <t>Pass</t>
        </is>
      </c>
      <c r="M16" s="21" t="inlineStr"/>
    </row>
    <row r="17" ht="42" customHeight="1">
      <c r="A17" s="15" t="inlineStr">
        <is>
          <t>TC_USER_03</t>
        </is>
      </c>
      <c r="B17" s="16" t="inlineStr">
        <is>
          <t>Users</t>
        </is>
      </c>
      <c r="C17" s="16" t="inlineStr">
        <is>
          <t>/api/v1/users/{user_id}</t>
        </is>
      </c>
      <c r="D17" s="26" t="inlineStr">
        <is>
          <t>GET</t>
        </is>
      </c>
      <c r="E17" s="15" t="inlineStr">
        <is>
          <t>Positive</t>
        </is>
      </c>
      <c r="F17" s="16" t="inlineStr">
        <is>
          <t>Lấy thông tin chi tiết user theo ID hợp lệ</t>
        </is>
      </c>
      <c r="G17" s="16" t="inlineStr">
        <is>
          <t>User ID tồn tại trong hệ thống</t>
        </is>
      </c>
      <c r="H17" s="18" t="inlineStr">
        <is>
          <t>Path: user_id = 1</t>
        </is>
      </c>
      <c r="I17" s="15" t="n">
        <v>200</v>
      </c>
      <c r="J17" s="18" t="inlineStr">
        <is>
          <t>Thông tin profile user chi tiết</t>
        </is>
      </c>
      <c r="K17" s="16" t="inlineStr"/>
      <c r="L17" s="19" t="inlineStr">
        <is>
          <t>Pass</t>
        </is>
      </c>
      <c r="M17" s="16" t="inlineStr"/>
    </row>
    <row r="18" ht="42" customHeight="1">
      <c r="A18" s="20" t="inlineStr">
        <is>
          <t>TC_USER_04</t>
        </is>
      </c>
      <c r="B18" s="21" t="inlineStr">
        <is>
          <t>Users</t>
        </is>
      </c>
      <c r="C18" s="21" t="inlineStr">
        <is>
          <t>/api/v1/users/{user_id}</t>
        </is>
      </c>
      <c r="D18" s="25" t="inlineStr">
        <is>
          <t>GET</t>
        </is>
      </c>
      <c r="E18" s="20" t="inlineStr">
        <is>
          <t>Negative</t>
        </is>
      </c>
      <c r="F18" s="21" t="inlineStr">
        <is>
          <t>Lấy thông tin user với ID không tồn tại</t>
        </is>
      </c>
      <c r="G18" s="21" t="inlineStr">
        <is>
          <t>user_id = 999999 không có trong DB</t>
        </is>
      </c>
      <c r="H18" s="23" t="inlineStr">
        <is>
          <t>Path: user_id = 999999</t>
        </is>
      </c>
      <c r="I18" s="20" t="n">
        <v>404</v>
      </c>
      <c r="J18" s="23" t="inlineStr">
        <is>
          <t>{"detail": "User not found"}</t>
        </is>
      </c>
      <c r="K18" s="21" t="inlineStr"/>
      <c r="L18" s="24" t="inlineStr">
        <is>
          <t>Pass</t>
        </is>
      </c>
      <c r="M18" s="21" t="inlineStr"/>
    </row>
    <row r="19" ht="42" customHeight="1">
      <c r="A19" s="15" t="inlineStr">
        <is>
          <t>TC_USER_05</t>
        </is>
      </c>
      <c r="B19" s="16" t="inlineStr">
        <is>
          <t>Users</t>
        </is>
      </c>
      <c r="C19" s="16" t="inlineStr">
        <is>
          <t>/api/v1/users/{user_id}</t>
        </is>
      </c>
      <c r="D19" s="27" t="inlineStr">
        <is>
          <t>PUT</t>
        </is>
      </c>
      <c r="E19" s="15" t="inlineStr">
        <is>
          <t>Positive</t>
        </is>
      </c>
      <c r="F19" s="16" t="inlineStr">
        <is>
          <t>Cập nhật thông tin cá nhân của chính mình</t>
        </is>
      </c>
      <c r="G19" s="16" t="inlineStr">
        <is>
          <t>Đăng nhập đúng user sở hữu profile</t>
        </is>
      </c>
      <c r="H19" s="18" t="inlineStr">
        <is>
          <t>Path: user_id = 1
Body: {
  "full_name": "Nguyen Van A Updated",
  "phone": "0912345678"
}</t>
        </is>
      </c>
      <c r="I19" s="15" t="n">
        <v>200</v>
      </c>
      <c r="J19" s="18" t="inlineStr">
        <is>
          <t>Thông tin user sau khi cập nhật với tên mới</t>
        </is>
      </c>
      <c r="K19" s="16" t="inlineStr"/>
      <c r="L19" s="19" t="inlineStr">
        <is>
          <t>Pass</t>
        </is>
      </c>
      <c r="M19" s="16" t="inlineStr"/>
    </row>
    <row r="20" ht="42" customHeight="1">
      <c r="A20" s="20" t="inlineStr">
        <is>
          <t>TC_USER_06</t>
        </is>
      </c>
      <c r="B20" s="21" t="inlineStr">
        <is>
          <t>Users</t>
        </is>
      </c>
      <c r="C20" s="21" t="inlineStr">
        <is>
          <t>/api/v1/users/{user_id}</t>
        </is>
      </c>
      <c r="D20" s="28" t="inlineStr">
        <is>
          <t>DELETE</t>
        </is>
      </c>
      <c r="E20" s="20" t="inlineStr">
        <is>
          <t>Positive</t>
        </is>
      </c>
      <c r="F20" s="21" t="inlineStr">
        <is>
          <t>Xóa/Vô hiệu hóa người dùng (Chỉ ADMIN)</t>
        </is>
      </c>
      <c r="G20" s="21" t="inlineStr">
        <is>
          <t>Đăng nhập tài khoản ADMIN</t>
        </is>
      </c>
      <c r="H20" s="23" t="inlineStr">
        <is>
          <t>Path: user_id = 2</t>
        </is>
      </c>
      <c r="I20" s="20" t="n">
        <v>200</v>
      </c>
      <c r="J20" s="23" t="inlineStr">
        <is>
          <t>{"message": "User deleted successfully" hoặc is_active=false}</t>
        </is>
      </c>
      <c r="K20" s="21" t="inlineStr"/>
      <c r="L20" s="24" t="inlineStr">
        <is>
          <t>Pass</t>
        </is>
      </c>
      <c r="M20" s="21" t="inlineStr"/>
    </row>
    <row r="21" ht="42" customHeight="1">
      <c r="A21" s="15" t="inlineStr">
        <is>
          <t>TC_PROJ_01</t>
        </is>
      </c>
      <c r="B21" s="16" t="inlineStr">
        <is>
          <t>Projects</t>
        </is>
      </c>
      <c r="C21" s="16" t="inlineStr">
        <is>
          <t>/api/v1/projects/</t>
        </is>
      </c>
      <c r="D21" s="17" t="inlineStr">
        <is>
          <t>POST</t>
        </is>
      </c>
      <c r="E21" s="15" t="inlineStr">
        <is>
          <t>Positive</t>
        </is>
      </c>
      <c r="F21" s="16" t="inlineStr">
        <is>
          <t>Tạo dự án mới thành công với dữ liệu hợp lệ</t>
        </is>
      </c>
      <c r="G21" s="16" t="inlineStr">
        <is>
          <t>Đăng nhập với tài khoản có quyền tạo dự án</t>
        </is>
      </c>
      <c r="H21" s="18" t="inlineStr">
        <is>
          <t>{
  "name": "FastAPI Management System",
  "description": "Hệ thống quản lý công việc và tiến độ",
  "start_date": "2026-09-01",
  "end_date": "2026-12-31",
  "status": "PLANNING"
}</t>
        </is>
      </c>
      <c r="I21" s="15" t="n">
        <v>201</v>
      </c>
      <c r="J21" s="18" t="inlineStr">
        <is>
          <t>Trả về thông tin project được tạo với owner_id = current_user.id, created_at, status="PLANNING"</t>
        </is>
      </c>
      <c r="K21" s="16" t="inlineStr"/>
      <c r="L21" s="19" t="inlineStr">
        <is>
          <t>Pass</t>
        </is>
      </c>
      <c r="M21" s="16" t="inlineStr"/>
    </row>
    <row r="22" ht="42" customHeight="1">
      <c r="A22" s="20" t="inlineStr">
        <is>
          <t>TC_PROJ_02</t>
        </is>
      </c>
      <c r="B22" s="21" t="inlineStr">
        <is>
          <t>Projects</t>
        </is>
      </c>
      <c r="C22" s="21" t="inlineStr">
        <is>
          <t>/api/v1/projects/</t>
        </is>
      </c>
      <c r="D22" s="22" t="inlineStr">
        <is>
          <t>POST</t>
        </is>
      </c>
      <c r="E22" s="20" t="inlineStr">
        <is>
          <t>Negative (Validation)</t>
        </is>
      </c>
      <c r="F22" s="21" t="inlineStr">
        <is>
          <t>Tạo dự án thất bại khi thiếu tên dự án (name bắt buộc)</t>
        </is>
      </c>
      <c r="G22" s="21" t="inlineStr">
        <is>
          <t>Đã đăng nhập</t>
        </is>
      </c>
      <c r="H22" s="23" t="inlineStr">
        <is>
          <t>{
  "description": "Missing project name",
  "status": "PLANNING"
}</t>
        </is>
      </c>
      <c r="I22" s="20" t="n">
        <v>422</v>
      </c>
      <c r="J22" s="23" t="inlineStr">
        <is>
          <t>{"detail": [{"loc": ["body", "name"], "msg": "field required", "type": "value_error.missing"}]}</t>
        </is>
      </c>
      <c r="K22" s="21" t="inlineStr"/>
      <c r="L22" s="24" t="inlineStr">
        <is>
          <t>Pass</t>
        </is>
      </c>
      <c r="M22" s="21" t="inlineStr"/>
    </row>
    <row r="23" ht="42" customHeight="1">
      <c r="A23" s="15" t="inlineStr">
        <is>
          <t>TC_PROJ_03</t>
        </is>
      </c>
      <c r="B23" s="16" t="inlineStr">
        <is>
          <t>Projects</t>
        </is>
      </c>
      <c r="C23" s="16" t="inlineStr">
        <is>
          <t>/api/v1/projects/</t>
        </is>
      </c>
      <c r="D23" s="17" t="inlineStr">
        <is>
          <t>POST</t>
        </is>
      </c>
      <c r="E23" s="15" t="inlineStr">
        <is>
          <t>Negative (Boundary)</t>
        </is>
      </c>
      <c r="F23" s="16" t="inlineStr">
        <is>
          <t>Tạo dự án thất bại khi ngày kết thúc nhỏ hơn ngày bắt đầu</t>
        </is>
      </c>
      <c r="G23" s="16" t="inlineStr">
        <is>
          <t>Đã đăng nhập</t>
        </is>
      </c>
      <c r="H23" s="18" t="inlineStr">
        <is>
          <t>{
  "name": "Invalid Date Project",
  "start_date": "2026-10-01",
  "end_date": "2026-09-01"
}</t>
        </is>
      </c>
      <c r="I23" s="15" t="n">
        <v>400</v>
      </c>
      <c r="J23" s="18" t="inlineStr">
        <is>
          <t>{"detail": "end_date must be after start_date"}</t>
        </is>
      </c>
      <c r="K23" s="16" t="inlineStr"/>
      <c r="L23" s="19" t="inlineStr">
        <is>
          <t>Pass</t>
        </is>
      </c>
      <c r="M23" s="16" t="inlineStr">
        <is>
          <t>Logic validation</t>
        </is>
      </c>
    </row>
    <row r="24" ht="42" customHeight="1">
      <c r="A24" s="20" t="inlineStr">
        <is>
          <t>TC_PROJ_04</t>
        </is>
      </c>
      <c r="B24" s="21" t="inlineStr">
        <is>
          <t>Projects</t>
        </is>
      </c>
      <c r="C24" s="21" t="inlineStr">
        <is>
          <t>/api/v1/projects/</t>
        </is>
      </c>
      <c r="D24" s="25" t="inlineStr">
        <is>
          <t>GET</t>
        </is>
      </c>
      <c r="E24" s="20" t="inlineStr">
        <is>
          <t>Positive</t>
        </is>
      </c>
      <c r="F24" s="21" t="inlineStr">
        <is>
          <t>Lấy danh sách các dự án (có lọc theo trạng thái và tìm kiếm)</t>
        </is>
      </c>
      <c r="G24" s="21" t="inlineStr">
        <is>
          <t>Đã đăng nhập</t>
        </is>
      </c>
      <c r="H24" s="23" t="inlineStr">
        <is>
          <t>Params: status=PLANNING, search="FastAPI", skip=0, limit=10</t>
        </is>
      </c>
      <c r="I24" s="20" t="n">
        <v>200</v>
      </c>
      <c r="J24" s="23" t="inlineStr">
        <is>
          <t>Danh sách các dự án khớp điều kiện lọc</t>
        </is>
      </c>
      <c r="K24" s="21" t="inlineStr"/>
      <c r="L24" s="24" t="inlineStr">
        <is>
          <t>Pass</t>
        </is>
      </c>
      <c r="M24" s="21" t="inlineStr"/>
    </row>
    <row r="25" ht="42" customHeight="1">
      <c r="A25" s="15" t="inlineStr">
        <is>
          <t>TC_PROJ_05</t>
        </is>
      </c>
      <c r="B25" s="16" t="inlineStr">
        <is>
          <t>Projects</t>
        </is>
      </c>
      <c r="C25" s="16" t="inlineStr">
        <is>
          <t>/api/v1/projects/{project_id}</t>
        </is>
      </c>
      <c r="D25" s="26" t="inlineStr">
        <is>
          <t>GET</t>
        </is>
      </c>
      <c r="E25" s="15" t="inlineStr">
        <is>
          <t>Positive</t>
        </is>
      </c>
      <c r="F25" s="16" t="inlineStr">
        <is>
          <t>Xem chi tiết dự án theo ID</t>
        </is>
      </c>
      <c r="G25" s="16" t="inlineStr">
        <is>
          <t>project_id = 1 tồn tại</t>
        </is>
      </c>
      <c r="H25" s="18" t="inlineStr">
        <is>
          <t>Path: project_id = 1</t>
        </is>
      </c>
      <c r="I25" s="15" t="n">
        <v>200</v>
      </c>
      <c r="J25" s="18" t="inlineStr">
        <is>
          <t>Thông tin chi tiết dự án (kèm danh sách members và tasks nếu có)</t>
        </is>
      </c>
      <c r="K25" s="16" t="inlineStr"/>
      <c r="L25" s="19" t="inlineStr">
        <is>
          <t>Pass</t>
        </is>
      </c>
      <c r="M25" s="16" t="inlineStr"/>
    </row>
    <row r="26" ht="42" customHeight="1">
      <c r="A26" s="20" t="inlineStr">
        <is>
          <t>TC_PROJ_06</t>
        </is>
      </c>
      <c r="B26" s="21" t="inlineStr">
        <is>
          <t>Projects</t>
        </is>
      </c>
      <c r="C26" s="21" t="inlineStr">
        <is>
          <t>/api/v1/projects/{project_id}</t>
        </is>
      </c>
      <c r="D26" s="25" t="inlineStr">
        <is>
          <t>GET</t>
        </is>
      </c>
      <c r="E26" s="20" t="inlineStr">
        <is>
          <t>Negative</t>
        </is>
      </c>
      <c r="F26" s="21" t="inlineStr">
        <is>
          <t>Xem chi tiết dự án không tồn tại</t>
        </is>
      </c>
      <c r="G26" s="21" t="inlineStr">
        <is>
          <t>project_id = 9999</t>
        </is>
      </c>
      <c r="H26" s="23" t="inlineStr">
        <is>
          <t>Path: project_id = 9999</t>
        </is>
      </c>
      <c r="I26" s="20" t="n">
        <v>404</v>
      </c>
      <c r="J26" s="23" t="inlineStr">
        <is>
          <t>{"detail": "Project not found"}</t>
        </is>
      </c>
      <c r="K26" s="21" t="inlineStr"/>
      <c r="L26" s="24" t="inlineStr">
        <is>
          <t>Pass</t>
        </is>
      </c>
      <c r="M26" s="21" t="inlineStr"/>
    </row>
    <row r="27" ht="42" customHeight="1">
      <c r="A27" s="15" t="inlineStr">
        <is>
          <t>TC_PROJ_07</t>
        </is>
      </c>
      <c r="B27" s="16" t="inlineStr">
        <is>
          <t>Projects</t>
        </is>
      </c>
      <c r="C27" s="16" t="inlineStr">
        <is>
          <t>/api/v1/projects/{project_id}</t>
        </is>
      </c>
      <c r="D27" s="27" t="inlineStr">
        <is>
          <t>PUT</t>
        </is>
      </c>
      <c r="E27" s="15" t="inlineStr">
        <is>
          <t>Positive</t>
        </is>
      </c>
      <c r="F27" s="16" t="inlineStr">
        <is>
          <t>Cập nhật thông tin dự án (Chủ sở hữu hoặc Manager)</t>
        </is>
      </c>
      <c r="G27" s="16" t="inlineStr">
        <is>
          <t>User là owner của project</t>
        </is>
      </c>
      <c r="H27" s="18" t="inlineStr">
        <is>
          <t>Path: project_id = 1
Body: {
  "name": "FastAPI Manager Updated",
  "status": "IN_PROGRESS"
}</t>
        </is>
      </c>
      <c r="I27" s="15" t="n">
        <v>200</v>
      </c>
      <c r="J27" s="18" t="inlineStr">
        <is>
          <t>Thông tin project với name và status mới</t>
        </is>
      </c>
      <c r="K27" s="16" t="inlineStr"/>
      <c r="L27" s="19" t="inlineStr">
        <is>
          <t>Pass</t>
        </is>
      </c>
      <c r="M27" s="16" t="inlineStr"/>
    </row>
    <row r="28" ht="42" customHeight="1">
      <c r="A28" s="20" t="inlineStr">
        <is>
          <t>TC_PROJ_08</t>
        </is>
      </c>
      <c r="B28" s="21" t="inlineStr">
        <is>
          <t>Projects</t>
        </is>
      </c>
      <c r="C28" s="21" t="inlineStr">
        <is>
          <t>/api/v1/projects/{project_id}</t>
        </is>
      </c>
      <c r="D28" s="29" t="inlineStr">
        <is>
          <t>PUT</t>
        </is>
      </c>
      <c r="E28" s="20" t="inlineStr">
        <is>
          <t>Negative (Forbidden)</t>
        </is>
      </c>
      <c r="F28" s="21" t="inlineStr">
        <is>
          <t>Cập nhật dự án thất bại khi user không phải owner/admin</t>
        </is>
      </c>
      <c r="G28" s="21" t="inlineStr">
        <is>
          <t>Đăng nhập user không thuộc dự án</t>
        </is>
      </c>
      <c r="H28" s="23" t="inlineStr">
        <is>
          <t>Path: project_id = 1
Body: {"name": "Hacked Name"}</t>
        </is>
      </c>
      <c r="I28" s="20" t="n">
        <v>403</v>
      </c>
      <c r="J28" s="23" t="inlineStr">
        <is>
          <t>{"detail": "You do not have permission to edit this project"}</t>
        </is>
      </c>
      <c r="K28" s="21" t="inlineStr"/>
      <c r="L28" s="24" t="inlineStr">
        <is>
          <t>Pass</t>
        </is>
      </c>
      <c r="M28" s="21" t="inlineStr"/>
    </row>
    <row r="29" ht="42" customHeight="1">
      <c r="A29" s="15" t="inlineStr">
        <is>
          <t>TC_PROJ_09</t>
        </is>
      </c>
      <c r="B29" s="16" t="inlineStr">
        <is>
          <t>Projects</t>
        </is>
      </c>
      <c r="C29" s="16" t="inlineStr">
        <is>
          <t>/api/v1/projects/{project_id}</t>
        </is>
      </c>
      <c r="D29" s="30" t="inlineStr">
        <is>
          <t>DELETE</t>
        </is>
      </c>
      <c r="E29" s="15" t="inlineStr">
        <is>
          <t>Positive</t>
        </is>
      </c>
      <c r="F29" s="16" t="inlineStr">
        <is>
          <t>Xóa dự án thành công</t>
        </is>
      </c>
      <c r="G29" s="16" t="inlineStr">
        <is>
          <t>User là Owner/Admin</t>
        </is>
      </c>
      <c r="H29" s="18" t="inlineStr">
        <is>
          <t>Path: project_id = 1</t>
        </is>
      </c>
      <c r="I29" s="15" t="n">
        <v>200</v>
      </c>
      <c r="J29" s="18" t="inlineStr">
        <is>
          <t>{"message": "Project deleted successfully"}</t>
        </is>
      </c>
      <c r="K29" s="16" t="inlineStr"/>
      <c r="L29" s="19" t="inlineStr">
        <is>
          <t>Pass</t>
        </is>
      </c>
      <c r="M29" s="16" t="inlineStr"/>
    </row>
    <row r="30" ht="42" customHeight="1">
      <c r="A30" s="20" t="inlineStr">
        <is>
          <t>TC_PROJ_10</t>
        </is>
      </c>
      <c r="B30" s="21" t="inlineStr">
        <is>
          <t>Projects</t>
        </is>
      </c>
      <c r="C30" s="21" t="inlineStr">
        <is>
          <t>/api/v1/projects/{project_id}/members</t>
        </is>
      </c>
      <c r="D30" s="22" t="inlineStr">
        <is>
          <t>POST</t>
        </is>
      </c>
      <c r="E30" s="20" t="inlineStr">
        <is>
          <t>Positive</t>
        </is>
      </c>
      <c r="F30" s="21" t="inlineStr">
        <is>
          <t>Thêm thành viên vào dự án</t>
        </is>
      </c>
      <c r="G30" s="21" t="inlineStr">
        <is>
          <t>Project tồn tại, user_id hợp lệ</t>
        </is>
      </c>
      <c r="H30" s="23" t="inlineStr">
        <is>
          <t>Path: project_id = 1
Body: {
  "user_id": 3,
  "role": "DEVELOPER"
}</t>
        </is>
      </c>
      <c r="I30" s="20" t="n">
        <v>200</v>
      </c>
      <c r="J30" s="23" t="inlineStr">
        <is>
          <t>{"message": "Member added successfully", "project_id": 1, "user_id": 3}</t>
        </is>
      </c>
      <c r="K30" s="21" t="inlineStr"/>
      <c r="L30" s="24" t="inlineStr">
        <is>
          <t>Pass</t>
        </is>
      </c>
      <c r="M30" s="21" t="inlineStr"/>
    </row>
    <row r="31" ht="42" customHeight="1">
      <c r="A31" s="15" t="inlineStr">
        <is>
          <t>TC_TASK_01</t>
        </is>
      </c>
      <c r="B31" s="16" t="inlineStr">
        <is>
          <t>Tasks</t>
        </is>
      </c>
      <c r="C31" s="16" t="inlineStr">
        <is>
          <t>/api/v1/tasks/</t>
        </is>
      </c>
      <c r="D31" s="17" t="inlineStr">
        <is>
          <t>POST</t>
        </is>
      </c>
      <c r="E31" s="15" t="inlineStr">
        <is>
          <t>Positive</t>
        </is>
      </c>
      <c r="F31" s="16" t="inlineStr">
        <is>
          <t>Tạo task mới thuộc dự án thành công</t>
        </is>
      </c>
      <c r="G31" s="16" t="inlineStr">
        <is>
          <t>Project tồn tại, user là thành viên dự án</t>
        </is>
      </c>
      <c r="H31" s="18" t="inlineStr">
        <is>
          <t>{
  "title": "Thiết kế CSDL Task &amp; Project",
  "description": "Viết SQLAlchemy models và relations",
  "project_id": 1,
  "priority": "HIGH",
  "status": "TODO",
  "assigned_to": 2,
  "due_date": "2026-09-15"
}</t>
        </is>
      </c>
      <c r="I31" s="15" t="n">
        <v>201</v>
      </c>
      <c r="J31" s="18" t="inlineStr">
        <is>
          <t>Task được tạo với id, title, project_id=1, status="TODO", priority="HIGH"</t>
        </is>
      </c>
      <c r="K31" s="16" t="inlineStr"/>
      <c r="L31" s="19" t="inlineStr">
        <is>
          <t>Pass</t>
        </is>
      </c>
      <c r="M31" s="16" t="inlineStr"/>
    </row>
    <row r="32" ht="42" customHeight="1">
      <c r="A32" s="20" t="inlineStr">
        <is>
          <t>TC_TASK_02</t>
        </is>
      </c>
      <c r="B32" s="21" t="inlineStr">
        <is>
          <t>Tasks</t>
        </is>
      </c>
      <c r="C32" s="21" t="inlineStr">
        <is>
          <t>/api/v1/tasks/</t>
        </is>
      </c>
      <c r="D32" s="22" t="inlineStr">
        <is>
          <t>POST</t>
        </is>
      </c>
      <c r="E32" s="20" t="inlineStr">
        <is>
          <t>Negative</t>
        </is>
      </c>
      <c r="F32" s="21" t="inlineStr">
        <is>
          <t>Tạo task thất bại khi gán vào project không tồn tại</t>
        </is>
      </c>
      <c r="G32" s="21" t="inlineStr">
        <is>
          <t>project_id = 9999 không tồn tại</t>
        </is>
      </c>
      <c r="H32" s="23" t="inlineStr">
        <is>
          <t>{
  "title": "Task ma",
  "project_id": 9999,
  "status": "TODO"
}</t>
        </is>
      </c>
      <c r="I32" s="20" t="n">
        <v>404</v>
      </c>
      <c r="J32" s="23" t="inlineStr">
        <is>
          <t>{"detail": "Project not found"}</t>
        </is>
      </c>
      <c r="K32" s="21" t="inlineStr"/>
      <c r="L32" s="24" t="inlineStr">
        <is>
          <t>Pass</t>
        </is>
      </c>
      <c r="M32" s="21" t="inlineStr">
        <is>
          <t>Kiểm tra khóa ngoại</t>
        </is>
      </c>
    </row>
    <row r="33" ht="42" customHeight="1">
      <c r="A33" s="15" t="inlineStr">
        <is>
          <t>TC_TASK_03</t>
        </is>
      </c>
      <c r="B33" s="16" t="inlineStr">
        <is>
          <t>Tasks</t>
        </is>
      </c>
      <c r="C33" s="16" t="inlineStr">
        <is>
          <t>/api/v1/tasks/</t>
        </is>
      </c>
      <c r="D33" s="17" t="inlineStr">
        <is>
          <t>POST</t>
        </is>
      </c>
      <c r="E33" s="15" t="inlineStr">
        <is>
          <t>Negative (Validation)</t>
        </is>
      </c>
      <c r="F33" s="16" t="inlineStr">
        <is>
          <t>Tạo task thất bại khi truyền sai giá trị enum priority/status</t>
        </is>
      </c>
      <c r="G33" s="16" t="inlineStr">
        <is>
          <t>Đã đăng nhập</t>
        </is>
      </c>
      <c r="H33" s="18" t="inlineStr">
        <is>
          <t>{
  "title": "Task Invalid Enum",
  "project_id": 1,
  "priority": "SUPER_URGENT_INVALID",
  "status": "TODO"
}</t>
        </is>
      </c>
      <c r="I33" s="15" t="n">
        <v>422</v>
      </c>
      <c r="J33" s="18" t="inlineStr">
        <is>
          <t>{"detail": [{"loc": ["body", "priority"], "msg": "value is not a valid enumeration member"}]}</t>
        </is>
      </c>
      <c r="K33" s="16" t="inlineStr"/>
      <c r="L33" s="19" t="inlineStr">
        <is>
          <t>Pass</t>
        </is>
      </c>
      <c r="M33" s="16" t="inlineStr">
        <is>
          <t>FastAPI Enum validation</t>
        </is>
      </c>
    </row>
    <row r="34" ht="42" customHeight="1">
      <c r="A34" s="20" t="inlineStr">
        <is>
          <t>TC_TASK_04</t>
        </is>
      </c>
      <c r="B34" s="21" t="inlineStr">
        <is>
          <t>Tasks</t>
        </is>
      </c>
      <c r="C34" s="21" t="inlineStr">
        <is>
          <t>/api/v1/tasks/</t>
        </is>
      </c>
      <c r="D34" s="25" t="inlineStr">
        <is>
          <t>GET</t>
        </is>
      </c>
      <c r="E34" s="20" t="inlineStr">
        <is>
          <t>Positive</t>
        </is>
      </c>
      <c r="F34" s="21" t="inlineStr">
        <is>
          <t>Lấy danh sách tasks kèm filter (theo project_id, status, priority)</t>
        </is>
      </c>
      <c r="G34" s="21" t="inlineStr">
        <is>
          <t>Đã đăng nhập</t>
        </is>
      </c>
      <c r="H34" s="23" t="inlineStr">
        <is>
          <t>Params: project_id=1, status=TODO, priority=HIGH, skip=0, limit=20</t>
        </is>
      </c>
      <c r="I34" s="20" t="n">
        <v>200</v>
      </c>
      <c r="J34" s="23" t="inlineStr">
        <is>
          <t>Danh sách các công việc khớp bộ lọc</t>
        </is>
      </c>
      <c r="K34" s="21" t="inlineStr"/>
      <c r="L34" s="24" t="inlineStr">
        <is>
          <t>Pass</t>
        </is>
      </c>
      <c r="M34" s="21" t="inlineStr"/>
    </row>
    <row r="35" ht="42" customHeight="1">
      <c r="A35" s="15" t="inlineStr">
        <is>
          <t>TC_TASK_05</t>
        </is>
      </c>
      <c r="B35" s="16" t="inlineStr">
        <is>
          <t>Tasks</t>
        </is>
      </c>
      <c r="C35" s="16" t="inlineStr">
        <is>
          <t>/api/v1/tasks/{task_id}</t>
        </is>
      </c>
      <c r="D35" s="26" t="inlineStr">
        <is>
          <t>GET</t>
        </is>
      </c>
      <c r="E35" s="15" t="inlineStr">
        <is>
          <t>Positive</t>
        </is>
      </c>
      <c r="F35" s="16" t="inlineStr">
        <is>
          <t>Xem thông tin chi tiết một task</t>
        </is>
      </c>
      <c r="G35" s="16" t="inlineStr">
        <is>
          <t>task_id = 1 tồn tại</t>
        </is>
      </c>
      <c r="H35" s="18" t="inlineStr">
        <is>
          <t>Path: task_id = 1</t>
        </is>
      </c>
      <c r="I35" s="15" t="n">
        <v>200</v>
      </c>
      <c r="J35" s="18" t="inlineStr">
        <is>
          <t>Thông tin chi tiết của task, assignee info, project info</t>
        </is>
      </c>
      <c r="K35" s="16" t="inlineStr"/>
      <c r="L35" s="19" t="inlineStr">
        <is>
          <t>Pass</t>
        </is>
      </c>
      <c r="M35" s="16" t="inlineStr"/>
    </row>
    <row r="36" ht="42" customHeight="1">
      <c r="A36" s="20" t="inlineStr">
        <is>
          <t>TC_TASK_06</t>
        </is>
      </c>
      <c r="B36" s="21" t="inlineStr">
        <is>
          <t>Tasks</t>
        </is>
      </c>
      <c r="C36" s="21" t="inlineStr">
        <is>
          <t>/api/v1/tasks/{task_id}</t>
        </is>
      </c>
      <c r="D36" s="25" t="inlineStr">
        <is>
          <t>GET</t>
        </is>
      </c>
      <c r="E36" s="20" t="inlineStr">
        <is>
          <t>Negative</t>
        </is>
      </c>
      <c r="F36" s="21" t="inlineStr">
        <is>
          <t>Xem chi tiết task với task_id không tồn tại</t>
        </is>
      </c>
      <c r="G36" s="21" t="inlineStr">
        <is>
          <t>task_id = 99999</t>
        </is>
      </c>
      <c r="H36" s="23" t="inlineStr">
        <is>
          <t>Path: task_id = 99999</t>
        </is>
      </c>
      <c r="I36" s="20" t="n">
        <v>404</v>
      </c>
      <c r="J36" s="23" t="inlineStr">
        <is>
          <t>{"detail": "Task not found"}</t>
        </is>
      </c>
      <c r="K36" s="21" t="inlineStr"/>
      <c r="L36" s="24" t="inlineStr">
        <is>
          <t>Pass</t>
        </is>
      </c>
      <c r="M36" s="21" t="inlineStr"/>
    </row>
    <row r="37" ht="42" customHeight="1">
      <c r="A37" s="15" t="inlineStr">
        <is>
          <t>TC_TASK_07</t>
        </is>
      </c>
      <c r="B37" s="16" t="inlineStr">
        <is>
          <t>Tasks</t>
        </is>
      </c>
      <c r="C37" s="16" t="inlineStr">
        <is>
          <t>/api/v1/tasks/{task_id}/status</t>
        </is>
      </c>
      <c r="D37" s="27" t="inlineStr">
        <is>
          <t>PATCH</t>
        </is>
      </c>
      <c r="E37" s="15" t="inlineStr">
        <is>
          <t>Positive</t>
        </is>
      </c>
      <c r="F37" s="16" t="inlineStr">
        <is>
          <t>Cập nhật trạng thái tiến độ task (TODO -&gt; IN_PROGRESS -&gt; COMPLETED)</t>
        </is>
      </c>
      <c r="G37" s="16" t="inlineStr">
        <is>
          <t>User được giao task hoặc Owner</t>
        </is>
      </c>
      <c r="H37" s="18" t="inlineStr">
        <is>
          <t>Path: task_id = 1
Body: {
  "status": "IN_PROGRESS"
}</t>
        </is>
      </c>
      <c r="I37" s="15" t="n">
        <v>200</v>
      </c>
      <c r="J37" s="18" t="inlineStr">
        <is>
          <t>Task được cập nhật trạng thái mới IN_PROGRESS và updated_at được refresh</t>
        </is>
      </c>
      <c r="K37" s="16" t="inlineStr"/>
      <c r="L37" s="19" t="inlineStr">
        <is>
          <t>Pass</t>
        </is>
      </c>
      <c r="M37" s="16" t="inlineStr"/>
    </row>
    <row r="38" ht="42" customHeight="1">
      <c r="A38" s="20" t="inlineStr">
        <is>
          <t>TC_TASK_08</t>
        </is>
      </c>
      <c r="B38" s="21" t="inlineStr">
        <is>
          <t>Tasks</t>
        </is>
      </c>
      <c r="C38" s="21" t="inlineStr">
        <is>
          <t>/api/v1/tasks/{task_id}/assign</t>
        </is>
      </c>
      <c r="D38" s="29" t="inlineStr">
        <is>
          <t>PATCH</t>
        </is>
      </c>
      <c r="E38" s="20" t="inlineStr">
        <is>
          <t>Positive</t>
        </is>
      </c>
      <c r="F38" s="21" t="inlineStr">
        <is>
          <t>Giao task cho thành viên khác trong dự án</t>
        </is>
      </c>
      <c r="G38" s="21" t="inlineStr">
        <is>
          <t>Assignee user_id tồn tại</t>
        </is>
      </c>
      <c r="H38" s="23" t="inlineStr">
        <is>
          <t>Path: task_id = 1
Body: {
  "assigned_to": 3
}</t>
        </is>
      </c>
      <c r="I38" s="20" t="n">
        <v>200</v>
      </c>
      <c r="J38" s="23" t="inlineStr">
        <is>
          <t>Task cập nhật assigned_to = 3</t>
        </is>
      </c>
      <c r="K38" s="21" t="inlineStr"/>
      <c r="L38" s="24" t="inlineStr">
        <is>
          <t>Pass</t>
        </is>
      </c>
      <c r="M38" s="21" t="inlineStr"/>
    </row>
    <row r="39" ht="42" customHeight="1">
      <c r="A39" s="15" t="inlineStr">
        <is>
          <t>TC_TASK_09</t>
        </is>
      </c>
      <c r="B39" s="16" t="inlineStr">
        <is>
          <t>Tasks</t>
        </is>
      </c>
      <c r="C39" s="16" t="inlineStr">
        <is>
          <t>/api/v1/tasks/{task_id}</t>
        </is>
      </c>
      <c r="D39" s="27" t="inlineStr">
        <is>
          <t>PUT</t>
        </is>
      </c>
      <c r="E39" s="15" t="inlineStr">
        <is>
          <t>Positive</t>
        </is>
      </c>
      <c r="F39" s="16" t="inlineStr">
        <is>
          <t>Chỉnh sửa toàn bộ thông tin task (tiêu đề, mô tả, hạn chót)</t>
        </is>
      </c>
      <c r="G39" s="16" t="inlineStr">
        <is>
          <t>Có quyền chỉnh sửa task</t>
        </is>
      </c>
      <c r="H39" s="18" t="inlineStr">
        <is>
          <t>Path: task_id = 1
Body: {
  "title": "Thiết kế CSDL v2",
  "priority": "URGENT",
  "due_date": "2026-09-20"
}</t>
        </is>
      </c>
      <c r="I39" s="15" t="n">
        <v>200</v>
      </c>
      <c r="J39" s="18" t="inlineStr">
        <is>
          <t>Thông tin task sau khi cập nhật</t>
        </is>
      </c>
      <c r="K39" s="16" t="inlineStr"/>
      <c r="L39" s="19" t="inlineStr">
        <is>
          <t>Pass</t>
        </is>
      </c>
      <c r="M39" s="16" t="inlineStr"/>
    </row>
    <row r="40" ht="42" customHeight="1">
      <c r="A40" s="20" t="inlineStr">
        <is>
          <t>TC_TASK_10</t>
        </is>
      </c>
      <c r="B40" s="21" t="inlineStr">
        <is>
          <t>Tasks</t>
        </is>
      </c>
      <c r="C40" s="21" t="inlineStr">
        <is>
          <t>/api/v1/tasks/{task_id}</t>
        </is>
      </c>
      <c r="D40" s="28" t="inlineStr">
        <is>
          <t>DELETE</t>
        </is>
      </c>
      <c r="E40" s="20" t="inlineStr">
        <is>
          <t>Positive</t>
        </is>
      </c>
      <c r="F40" s="21" t="inlineStr">
        <is>
          <t>Xóa task khỏi hệ thống</t>
        </is>
      </c>
      <c r="G40" s="21" t="inlineStr">
        <is>
          <t>Có quyền quản lý task</t>
        </is>
      </c>
      <c r="H40" s="23" t="inlineStr">
        <is>
          <t>Path: task_id = 1</t>
        </is>
      </c>
      <c r="I40" s="20" t="n">
        <v>200</v>
      </c>
      <c r="J40" s="23" t="inlineStr">
        <is>
          <t>{"message": "Task deleted successfully"}</t>
        </is>
      </c>
      <c r="K40" s="21" t="inlineStr"/>
      <c r="L40" s="24" t="inlineStr">
        <is>
          <t>Pass</t>
        </is>
      </c>
      <c r="M40" s="21" t="inlineStr"/>
    </row>
  </sheetData>
  <mergeCells count="2">
    <mergeCell ref="A2:M2"/>
    <mergeCell ref="A1:M1"/>
  </mergeCells>
  <dataValidations count="1">
    <dataValidation sqref="L5:L40" showDropDown="0" showInputMessage="0" showErrorMessage="0" allowBlank="1" type="list">
      <formula1>"Pass,Fail,Untested,Blocked"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30" customWidth="1" min="3" max="3"/>
    <col width="12" customWidth="1" min="4" max="4"/>
    <col width="45" customWidth="1" min="5" max="5"/>
    <col width="22" customWidth="1" min="6" max="6"/>
    <col width="22" customWidth="1" min="7" max="7"/>
  </cols>
  <sheetData>
    <row r="1" ht="28" customHeight="1">
      <c r="A1" s="12" t="inlineStr">
        <is>
          <t>DANH MỤC CÁC ENDPOINT API CẦN KIỂM THỬ TRÊN SWAGGER / POSTMAN</t>
        </is>
      </c>
    </row>
    <row r="2" ht="20" customHeight="1">
      <c r="A2" s="2" t="inlineStr">
        <is>
          <t>FastAPI Application Endpoints Reference Guide</t>
        </is>
      </c>
    </row>
    <row r="4" ht="25" customHeight="1">
      <c r="A4" s="31" t="inlineStr">
        <is>
          <t>STT</t>
        </is>
      </c>
      <c r="B4" s="31" t="inlineStr">
        <is>
          <t>Module</t>
        </is>
      </c>
      <c r="C4" s="31" t="inlineStr">
        <is>
          <t>Endpoint</t>
        </is>
      </c>
      <c r="D4" s="31" t="inlineStr">
        <is>
          <t>Method</t>
        </is>
      </c>
      <c r="E4" s="31" t="inlineStr">
        <is>
          <t>Mô tả nghiệp vụ</t>
        </is>
      </c>
      <c r="F4" s="31" t="inlineStr">
        <is>
          <t>Yêu cầu Token (Auth)</t>
        </is>
      </c>
      <c r="G4" s="31" t="inlineStr">
        <is>
          <t>Số Test Case tương ứng</t>
        </is>
      </c>
    </row>
    <row r="5" ht="24" customHeight="1">
      <c r="A5" s="15" t="n">
        <v>1</v>
      </c>
      <c r="B5" s="16" t="inlineStr">
        <is>
          <t>Auth</t>
        </is>
      </c>
      <c r="C5" s="16" t="inlineStr">
        <is>
          <t>/api/v1/auth/register</t>
        </is>
      </c>
      <c r="D5" s="15" t="inlineStr">
        <is>
          <t>POST</t>
        </is>
      </c>
      <c r="E5" s="16" t="inlineStr">
        <is>
          <t>Đăng ký người dùng mới vào hệ thống</t>
        </is>
      </c>
      <c r="F5" s="15" t="inlineStr">
        <is>
          <t>Không (Public)</t>
        </is>
      </c>
      <c r="G5" s="15" t="n">
        <v>4</v>
      </c>
    </row>
    <row r="6" ht="24" customHeight="1">
      <c r="A6" s="20" t="n">
        <v>2</v>
      </c>
      <c r="B6" s="21" t="inlineStr">
        <is>
          <t>Auth</t>
        </is>
      </c>
      <c r="C6" s="21" t="inlineStr">
        <is>
          <t>/api/v1/auth/login</t>
        </is>
      </c>
      <c r="D6" s="20" t="inlineStr">
        <is>
          <t>POST</t>
        </is>
      </c>
      <c r="E6" s="21" t="inlineStr">
        <is>
          <t>Đăng nhập xác thực và cấp JWT Token</t>
        </is>
      </c>
      <c r="F6" s="20" t="inlineStr">
        <is>
          <t>Không (Public)</t>
        </is>
      </c>
      <c r="G6" s="20" t="n">
        <v>3</v>
      </c>
    </row>
    <row r="7" ht="24" customHeight="1">
      <c r="A7" s="15" t="n">
        <v>3</v>
      </c>
      <c r="B7" s="16" t="inlineStr">
        <is>
          <t>Auth</t>
        </is>
      </c>
      <c r="C7" s="16" t="inlineStr">
        <is>
          <t>/api/v1/auth/me</t>
        </is>
      </c>
      <c r="D7" s="15" t="inlineStr">
        <is>
          <t>GET</t>
        </is>
      </c>
      <c r="E7" s="16" t="inlineStr">
        <is>
          <t>Xem thông tin tài khoản của user đang đăng nhập</t>
        </is>
      </c>
      <c r="F7" s="15" t="inlineStr">
        <is>
          <t>Có (Bearer Token)</t>
        </is>
      </c>
      <c r="G7" s="15" t="n">
        <v>3</v>
      </c>
    </row>
    <row r="8" ht="24" customHeight="1">
      <c r="A8" s="20" t="n">
        <v>4</v>
      </c>
      <c r="B8" s="21" t="inlineStr">
        <is>
          <t>Users</t>
        </is>
      </c>
      <c r="C8" s="21" t="inlineStr">
        <is>
          <t>/api/v1/users/</t>
        </is>
      </c>
      <c r="D8" s="20" t="inlineStr">
        <is>
          <t>GET</t>
        </is>
      </c>
      <c r="E8" s="21" t="inlineStr">
        <is>
          <t>Lấy danh sách người dùng phân trang &amp; tìm kiếm</t>
        </is>
      </c>
      <c r="F8" s="20" t="inlineStr">
        <is>
          <t>Có (Admin/Manager)</t>
        </is>
      </c>
      <c r="G8" s="20" t="n">
        <v>2</v>
      </c>
    </row>
    <row r="9" ht="24" customHeight="1">
      <c r="A9" s="15" t="n">
        <v>5</v>
      </c>
      <c r="B9" s="16" t="inlineStr">
        <is>
          <t>Users</t>
        </is>
      </c>
      <c r="C9" s="16" t="inlineStr">
        <is>
          <t>/api/v1/users/{id}</t>
        </is>
      </c>
      <c r="D9" s="15" t="inlineStr">
        <is>
          <t>GET</t>
        </is>
      </c>
      <c r="E9" s="16" t="inlineStr">
        <is>
          <t>Lấy chi tiết hồ sơ người dùng theo ID</t>
        </is>
      </c>
      <c r="F9" s="15" t="inlineStr">
        <is>
          <t>Có (Bearer Token)</t>
        </is>
      </c>
      <c r="G9" s="15" t="n">
        <v>2</v>
      </c>
    </row>
    <row r="10" ht="24" customHeight="1">
      <c r="A10" s="20" t="n">
        <v>6</v>
      </c>
      <c r="B10" s="21" t="inlineStr">
        <is>
          <t>Users</t>
        </is>
      </c>
      <c r="C10" s="21" t="inlineStr">
        <is>
          <t>/api/v1/users/{id}</t>
        </is>
      </c>
      <c r="D10" s="20" t="inlineStr">
        <is>
          <t>PUT</t>
        </is>
      </c>
      <c r="E10" s="21" t="inlineStr">
        <is>
          <t>Cập nhật thông tin profile người dùng</t>
        </is>
      </c>
      <c r="F10" s="20" t="inlineStr">
        <is>
          <t>Có (Bearer Token)</t>
        </is>
      </c>
      <c r="G10" s="20" t="n">
        <v>1</v>
      </c>
    </row>
    <row r="11" ht="24" customHeight="1">
      <c r="A11" s="15" t="n">
        <v>7</v>
      </c>
      <c r="B11" s="16" t="inlineStr">
        <is>
          <t>Users</t>
        </is>
      </c>
      <c r="C11" s="16" t="inlineStr">
        <is>
          <t>/api/v1/users/{id}</t>
        </is>
      </c>
      <c r="D11" s="15" t="inlineStr">
        <is>
          <t>DELETE</t>
        </is>
      </c>
      <c r="E11" s="16" t="inlineStr">
        <is>
          <t>Xóa / Vô hiệu hóa tài khoản người dùng</t>
        </is>
      </c>
      <c r="F11" s="15" t="inlineStr">
        <is>
          <t>Có (Admin)</t>
        </is>
      </c>
      <c r="G11" s="15" t="n">
        <v>1</v>
      </c>
    </row>
    <row r="12" ht="24" customHeight="1">
      <c r="A12" s="20" t="n">
        <v>8</v>
      </c>
      <c r="B12" s="21" t="inlineStr">
        <is>
          <t>Projects</t>
        </is>
      </c>
      <c r="C12" s="21" t="inlineStr">
        <is>
          <t>/api/v1/projects/</t>
        </is>
      </c>
      <c r="D12" s="20" t="inlineStr">
        <is>
          <t>POST</t>
        </is>
      </c>
      <c r="E12" s="21" t="inlineStr">
        <is>
          <t>Tạo một dự án quản lý mới</t>
        </is>
      </c>
      <c r="F12" s="20" t="inlineStr">
        <is>
          <t>Có (Bearer Token)</t>
        </is>
      </c>
      <c r="G12" s="20" t="n">
        <v>3</v>
      </c>
    </row>
    <row r="13" ht="24" customHeight="1">
      <c r="A13" s="15" t="n">
        <v>9</v>
      </c>
      <c r="B13" s="16" t="inlineStr">
        <is>
          <t>Projects</t>
        </is>
      </c>
      <c r="C13" s="16" t="inlineStr">
        <is>
          <t>/api/v1/projects/</t>
        </is>
      </c>
      <c r="D13" s="15" t="inlineStr">
        <is>
          <t>GET</t>
        </is>
      </c>
      <c r="E13" s="16" t="inlineStr">
        <is>
          <t>Lấy danh sách dự án với bộ lọc theo trạng thái</t>
        </is>
      </c>
      <c r="F13" s="15" t="inlineStr">
        <is>
          <t>Có (Bearer Token)</t>
        </is>
      </c>
      <c r="G13" s="15" t="n">
        <v>1</v>
      </c>
    </row>
    <row r="14" ht="24" customHeight="1">
      <c r="A14" s="20" t="n">
        <v>10</v>
      </c>
      <c r="B14" s="21" t="inlineStr">
        <is>
          <t>Projects</t>
        </is>
      </c>
      <c r="C14" s="21" t="inlineStr">
        <is>
          <t>/api/v1/projects/{id}</t>
        </is>
      </c>
      <c r="D14" s="20" t="inlineStr">
        <is>
          <t>GET</t>
        </is>
      </c>
      <c r="E14" s="21" t="inlineStr">
        <is>
          <t>Xem chi tiết dự án, thành viên &amp; tasks</t>
        </is>
      </c>
      <c r="F14" s="20" t="inlineStr">
        <is>
          <t>Có (Bearer Token)</t>
        </is>
      </c>
      <c r="G14" s="20" t="n">
        <v>2</v>
      </c>
    </row>
    <row r="15" ht="24" customHeight="1">
      <c r="A15" s="15" t="n">
        <v>11</v>
      </c>
      <c r="B15" s="16" t="inlineStr">
        <is>
          <t>Projects</t>
        </is>
      </c>
      <c r="C15" s="16" t="inlineStr">
        <is>
          <t>/api/v1/projects/{id}</t>
        </is>
      </c>
      <c r="D15" s="15" t="inlineStr">
        <is>
          <t>PUT</t>
        </is>
      </c>
      <c r="E15" s="16" t="inlineStr">
        <is>
          <t>Cập nhật tên, mô tả, hạn chót dự án</t>
        </is>
      </c>
      <c r="F15" s="15" t="inlineStr">
        <is>
          <t>Có (Owner/Admin)</t>
        </is>
      </c>
      <c r="G15" s="15" t="n">
        <v>2</v>
      </c>
    </row>
    <row r="16" ht="24" customHeight="1">
      <c r="A16" s="20" t="n">
        <v>12</v>
      </c>
      <c r="B16" s="21" t="inlineStr">
        <is>
          <t>Projects</t>
        </is>
      </c>
      <c r="C16" s="21" t="inlineStr">
        <is>
          <t>/api/v1/projects/{id}</t>
        </is>
      </c>
      <c r="D16" s="20" t="inlineStr">
        <is>
          <t>DELETE</t>
        </is>
      </c>
      <c r="E16" s="21" t="inlineStr">
        <is>
          <t>Xóa dự án khỏi hệ thống</t>
        </is>
      </c>
      <c r="F16" s="20" t="inlineStr">
        <is>
          <t>Có (Owner/Admin)</t>
        </is>
      </c>
      <c r="G16" s="20" t="n">
        <v>1</v>
      </c>
    </row>
    <row r="17" ht="24" customHeight="1">
      <c r="A17" s="15" t="n">
        <v>13</v>
      </c>
      <c r="B17" s="16" t="inlineStr">
        <is>
          <t>Projects</t>
        </is>
      </c>
      <c r="C17" s="16" t="inlineStr">
        <is>
          <t>/api/v1/projects/{id}/members</t>
        </is>
      </c>
      <c r="D17" s="15" t="inlineStr">
        <is>
          <t>POST</t>
        </is>
      </c>
      <c r="E17" s="16" t="inlineStr">
        <is>
          <t>Thêm thành viên vào dự án</t>
        </is>
      </c>
      <c r="F17" s="15" t="inlineStr">
        <is>
          <t>Có (Owner/Admin)</t>
        </is>
      </c>
      <c r="G17" s="15" t="n">
        <v>1</v>
      </c>
    </row>
    <row r="18" ht="24" customHeight="1">
      <c r="A18" s="20" t="n">
        <v>14</v>
      </c>
      <c r="B18" s="21" t="inlineStr">
        <is>
          <t>Tasks</t>
        </is>
      </c>
      <c r="C18" s="21" t="inlineStr">
        <is>
          <t>/api/v1/tasks/</t>
        </is>
      </c>
      <c r="D18" s="20" t="inlineStr">
        <is>
          <t>POST</t>
        </is>
      </c>
      <c r="E18" s="21" t="inlineStr">
        <is>
          <t>Tạo công việc mới gán cho thành viên dự án</t>
        </is>
      </c>
      <c r="F18" s="20" t="inlineStr">
        <is>
          <t>Có (Bearer Token)</t>
        </is>
      </c>
      <c r="G18" s="20" t="n">
        <v>3</v>
      </c>
    </row>
    <row r="19" ht="24" customHeight="1">
      <c r="A19" s="15" t="n">
        <v>15</v>
      </c>
      <c r="B19" s="16" t="inlineStr">
        <is>
          <t>Tasks</t>
        </is>
      </c>
      <c r="C19" s="16" t="inlineStr">
        <is>
          <t>/api/v1/tasks/</t>
        </is>
      </c>
      <c r="D19" s="15" t="inlineStr">
        <is>
          <t>GET</t>
        </is>
      </c>
      <c r="E19" s="16" t="inlineStr">
        <is>
          <t>Lấy danh sách công việc (lọc project_id, status)</t>
        </is>
      </c>
      <c r="F19" s="15" t="inlineStr">
        <is>
          <t>Có (Bearer Token)</t>
        </is>
      </c>
      <c r="G19" s="15" t="n">
        <v>1</v>
      </c>
    </row>
    <row r="20" ht="24" customHeight="1">
      <c r="A20" s="20" t="n">
        <v>16</v>
      </c>
      <c r="B20" s="21" t="inlineStr">
        <is>
          <t>Tasks</t>
        </is>
      </c>
      <c r="C20" s="21" t="inlineStr">
        <is>
          <t>/api/v1/tasks/{id}</t>
        </is>
      </c>
      <c r="D20" s="20" t="inlineStr">
        <is>
          <t>GET</t>
        </is>
      </c>
      <c r="E20" s="21" t="inlineStr">
        <is>
          <t>Xem chi tiết tiến độ công việc</t>
        </is>
      </c>
      <c r="F20" s="20" t="inlineStr">
        <is>
          <t>Có (Bearer Token)</t>
        </is>
      </c>
      <c r="G20" s="20" t="n">
        <v>2</v>
      </c>
    </row>
    <row r="21" ht="24" customHeight="1">
      <c r="A21" s="15" t="n">
        <v>17</v>
      </c>
      <c r="B21" s="16" t="inlineStr">
        <is>
          <t>Tasks</t>
        </is>
      </c>
      <c r="C21" s="16" t="inlineStr">
        <is>
          <t>/api/v1/tasks/{id}/status</t>
        </is>
      </c>
      <c r="D21" s="15" t="inlineStr">
        <is>
          <t>PATCH</t>
        </is>
      </c>
      <c r="E21" s="16" t="inlineStr">
        <is>
          <t>Cập nhật nhanh trạng thái hoàn thành task</t>
        </is>
      </c>
      <c r="F21" s="15" t="inlineStr">
        <is>
          <t>Có (Assignee/Owner)</t>
        </is>
      </c>
      <c r="G21" s="15" t="n">
        <v>1</v>
      </c>
    </row>
    <row r="22" ht="24" customHeight="1">
      <c r="A22" s="20" t="n">
        <v>18</v>
      </c>
      <c r="B22" s="21" t="inlineStr">
        <is>
          <t>Tasks</t>
        </is>
      </c>
      <c r="C22" s="21" t="inlineStr">
        <is>
          <t>/api/v1/tasks/{id}/assign</t>
        </is>
      </c>
      <c r="D22" s="20" t="inlineStr">
        <is>
          <t>PATCH</t>
        </is>
      </c>
      <c r="E22" s="21" t="inlineStr">
        <is>
          <t>Chuyển giao task cho thành viên khác</t>
        </is>
      </c>
      <c r="F22" s="20" t="inlineStr">
        <is>
          <t>Có (Owner/Manager)</t>
        </is>
      </c>
      <c r="G22" s="20" t="n">
        <v>1</v>
      </c>
    </row>
    <row r="23" ht="24" customHeight="1">
      <c r="A23" s="15" t="n">
        <v>19</v>
      </c>
      <c r="B23" s="16" t="inlineStr">
        <is>
          <t>Tasks</t>
        </is>
      </c>
      <c r="C23" s="16" t="inlineStr">
        <is>
          <t>/api/v1/tasks/{id}</t>
        </is>
      </c>
      <c r="D23" s="15" t="inlineStr">
        <is>
          <t>PUT</t>
        </is>
      </c>
      <c r="E23" s="16" t="inlineStr">
        <is>
          <t>Cập nhật toàn diện thông tin task</t>
        </is>
      </c>
      <c r="F23" s="15" t="inlineStr">
        <is>
          <t>Có (Bearer Token)</t>
        </is>
      </c>
      <c r="G23" s="15" t="n">
        <v>1</v>
      </c>
    </row>
    <row r="24" ht="24" customHeight="1">
      <c r="A24" s="20" t="n">
        <v>20</v>
      </c>
      <c r="B24" s="21" t="inlineStr">
        <is>
          <t>Tasks</t>
        </is>
      </c>
      <c r="C24" s="21" t="inlineStr">
        <is>
          <t>/api/v1/tasks/{id}</t>
        </is>
      </c>
      <c r="D24" s="20" t="inlineStr">
        <is>
          <t>DELETE</t>
        </is>
      </c>
      <c r="E24" s="21" t="inlineStr">
        <is>
          <t>Xóa công việc</t>
        </is>
      </c>
      <c r="F24" s="20" t="inlineStr">
        <is>
          <t>Có (Owner/Manager)</t>
        </is>
      </c>
      <c r="G24" s="20" t="n">
        <v>1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2026-08-26T03:05:45Z</dcterms:created>
  <dcterms:modified xmlns:dcterms="http://purl.org/dc/terms/" xmlns:xsi="http://www.w3.org/2001/XMLSchema-instance" xsi:type="dcterms:W3CDTF">2026-08-26T03:05:45Z</dcterms:modified>
</cp:coreProperties>
</file>